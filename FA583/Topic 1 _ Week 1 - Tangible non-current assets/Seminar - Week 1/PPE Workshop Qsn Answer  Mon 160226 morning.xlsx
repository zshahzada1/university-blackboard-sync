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2822EB24-B2AB-4CC4-999F-661FC29D3FF8}" xr6:coauthVersionLast="47" xr6:coauthVersionMax="47" xr10:uidLastSave="{00000000-0000-0000-0000-000000000000}"/>
  <bookViews>
    <workbookView xWindow="-110" yWindow="-110" windowWidth="19420" windowHeight="10300" xr2:uid="{69A81E85-B494-41E3-8A69-619BFE9C9D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G32" i="2"/>
  <c r="F32" i="2"/>
  <c r="E32" i="2"/>
  <c r="G31" i="2"/>
  <c r="F31" i="2"/>
  <c r="G29" i="2"/>
  <c r="F29" i="2"/>
  <c r="F30" i="2"/>
  <c r="G28" i="2"/>
  <c r="F28" i="2"/>
  <c r="E28" i="2"/>
  <c r="G27" i="2"/>
  <c r="F27" i="2"/>
  <c r="G25" i="2"/>
  <c r="F18" i="2"/>
  <c r="G17" i="2"/>
  <c r="G16" i="2"/>
  <c r="F15" i="2"/>
  <c r="G14" i="2"/>
  <c r="G13" i="2"/>
  <c r="G12" i="2"/>
  <c r="H21" i="2"/>
  <c r="F19" i="2"/>
  <c r="E19" i="2"/>
  <c r="G11" i="2"/>
  <c r="E11" i="2"/>
  <c r="G10" i="2"/>
  <c r="G19" i="2" l="1"/>
</calcChain>
</file>

<file path=xl/sharedStrings.xml><?xml version="1.0" encoding="utf-8"?>
<sst xmlns="http://schemas.openxmlformats.org/spreadsheetml/2006/main" count="91" uniqueCount="75">
  <si>
    <t>IAS16</t>
  </si>
  <si>
    <t>Asset cost</t>
  </si>
  <si>
    <t>Residual value</t>
  </si>
  <si>
    <t>Useufl life</t>
  </si>
  <si>
    <t>10 years</t>
  </si>
  <si>
    <t>Yr1 - market value</t>
  </si>
  <si>
    <t>Yr2 - market value</t>
  </si>
  <si>
    <t>COST MODEL</t>
  </si>
  <si>
    <t>Ignore market value</t>
  </si>
  <si>
    <t>Depreciation</t>
  </si>
  <si>
    <t>Straight line</t>
  </si>
  <si>
    <t>(Cost - less residual value)/usful life</t>
  </si>
  <si>
    <t>10,000- 0 /10 years</t>
  </si>
  <si>
    <t>1,000 p.a.</t>
  </si>
  <si>
    <t>SOCI</t>
  </si>
  <si>
    <t>SOFP</t>
  </si>
  <si>
    <t>Mkt Value</t>
  </si>
  <si>
    <t>Yr 1</t>
  </si>
  <si>
    <t>Dep 1,000</t>
  </si>
  <si>
    <t>Cost - 10,000</t>
  </si>
  <si>
    <t>Acc. Dep (1,000)</t>
  </si>
  <si>
    <t>CV/ NBV - 9,000</t>
  </si>
  <si>
    <t>Goes up = IGNORE IT</t>
  </si>
  <si>
    <t>Yr 2</t>
  </si>
  <si>
    <t>Acc. Dep (2,000)</t>
  </si>
  <si>
    <t>CV/ NBV - 8,000</t>
  </si>
  <si>
    <t>Goes down = IGNORE IT</t>
  </si>
  <si>
    <t>REVALULATION MODEL</t>
  </si>
  <si>
    <t>Dr Asset (11,000 - 9,000) = 2,000</t>
  </si>
  <si>
    <t>Cr Revaluation Reserve        2,000</t>
  </si>
  <si>
    <t>Dep 1,222</t>
  </si>
  <si>
    <t>(11,000/9 years)</t>
  </si>
  <si>
    <t>Cr Asset</t>
  </si>
  <si>
    <t>Marks</t>
  </si>
  <si>
    <t>a) i)</t>
  </si>
  <si>
    <t>Definition of PPE</t>
  </si>
  <si>
    <t>1. Tangible items</t>
  </si>
  <si>
    <t>2. held for use in producton or supply of goods</t>
  </si>
  <si>
    <t>3.  for rental purposes</t>
  </si>
  <si>
    <t>4.  for administrative purposes</t>
  </si>
  <si>
    <t>5.  Is expected to be used in more than one accounting period</t>
  </si>
  <si>
    <t>a) ii)</t>
  </si>
  <si>
    <t>£'000</t>
  </si>
  <si>
    <t>Exclude</t>
  </si>
  <si>
    <t>Include</t>
  </si>
  <si>
    <t>List price of the plant</t>
  </si>
  <si>
    <t>Discount at 6%</t>
  </si>
  <si>
    <t>Delivery</t>
  </si>
  <si>
    <t>Installation</t>
  </si>
  <si>
    <t>Testing</t>
  </si>
  <si>
    <t xml:space="preserve">Annual maintenance </t>
  </si>
  <si>
    <t>Training</t>
  </si>
  <si>
    <t>Site preparation</t>
  </si>
  <si>
    <t xml:space="preserve">Legal fees </t>
  </si>
  <si>
    <t>Total costs for PPE</t>
  </si>
  <si>
    <t>b) i)</t>
  </si>
  <si>
    <t>Land</t>
  </si>
  <si>
    <t>Buildings</t>
  </si>
  <si>
    <t>Total</t>
  </si>
  <si>
    <t>Date</t>
  </si>
  <si>
    <t>Cost</t>
  </si>
  <si>
    <t>Depr to 1/7/2017 (x 3 years)</t>
  </si>
  <si>
    <t>800/50yrs x 3 years</t>
  </si>
  <si>
    <t>CV before the revaluation</t>
  </si>
  <si>
    <t>Revaluation Gain</t>
  </si>
  <si>
    <t>Revaluation</t>
  </si>
  <si>
    <t>Depr to 30/6/2018 940,000/ (50 - 3 years)</t>
  </si>
  <si>
    <t>Carrying Value</t>
  </si>
  <si>
    <t>Dr Rev Reserve</t>
  </si>
  <si>
    <t>Cr P&amp;L</t>
  </si>
  <si>
    <t>CV/ NBV -  9,778</t>
  </si>
  <si>
    <t>Acc. Dep (1,222)</t>
  </si>
  <si>
    <t>To reduce the asset value from 9,778 to 7,000</t>
  </si>
  <si>
    <t>Depreciation is charged over the remaining life of 9 years but based on the new revalued amount</t>
  </si>
  <si>
    <t>Cost/ Revaluation - 11,000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</si>
</sst>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1" applyNumberFormat="1" applyFont="1"/>
    <xf numFmtId="164" fontId="2" fillId="0" borderId="0" xfId="1" applyNumberFormat="1" applyFont="1"/>
    <xf numFmtId="164" fontId="3" fillId="0" borderId="0" xfId="1" applyNumberFormat="1" applyFont="1"/>
    <xf numFmtId="0" fontId="4" fillId="0" borderId="0" xfId="0" applyFont="1"/>
    <xf numFmtId="14" fontId="0" fillId="0" borderId="0" xfId="0" applyNumberFormat="1"/>
    <xf numFmtId="164" fontId="4" fillId="0" borderId="0" xfId="1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5" fillId="0" borderId="0" xfId="1" applyNumberFormat="1" applyFont="1"/>
    <xf numFmtId="1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FB85-C99C-4002-AAAD-FA67AB4B87F2}">
  <dimension ref="A1:I38"/>
  <sheetViews>
    <sheetView tabSelected="1" topLeftCell="A30" zoomScale="150" zoomScaleNormal="150" workbookViewId="0">
      <selection activeCell="I36" sqref="I36"/>
    </sheetView>
  </sheetViews>
  <sheetFormatPr defaultRowHeight="14.5" x14ac:dyDescent="0.35"/>
  <cols>
    <col min="4" max="4" width="13.7265625" customWidth="1"/>
    <col min="6" max="6" width="12.1796875" customWidth="1"/>
  </cols>
  <sheetData>
    <row r="1" spans="1:7" x14ac:dyDescent="0.35">
      <c r="A1" s="2" t="s">
        <v>0</v>
      </c>
    </row>
    <row r="3" spans="1:7" x14ac:dyDescent="0.35">
      <c r="A3" t="s">
        <v>1</v>
      </c>
      <c r="D3" s="1">
        <v>10000</v>
      </c>
    </row>
    <row r="4" spans="1:7" x14ac:dyDescent="0.35">
      <c r="A4" t="s">
        <v>2</v>
      </c>
      <c r="D4">
        <v>0</v>
      </c>
    </row>
    <row r="5" spans="1:7" x14ac:dyDescent="0.35">
      <c r="A5" t="s">
        <v>3</v>
      </c>
      <c r="D5" t="s">
        <v>4</v>
      </c>
    </row>
    <row r="6" spans="1:7" x14ac:dyDescent="0.35">
      <c r="A6" t="s">
        <v>5</v>
      </c>
      <c r="D6" s="1">
        <v>11000</v>
      </c>
    </row>
    <row r="7" spans="1:7" x14ac:dyDescent="0.35">
      <c r="A7" t="s">
        <v>6</v>
      </c>
      <c r="D7" s="1">
        <v>7000</v>
      </c>
    </row>
    <row r="9" spans="1:7" x14ac:dyDescent="0.35">
      <c r="A9" s="2" t="s">
        <v>7</v>
      </c>
    </row>
    <row r="10" spans="1:7" x14ac:dyDescent="0.35">
      <c r="A10" t="s">
        <v>8</v>
      </c>
    </row>
    <row r="11" spans="1:7" x14ac:dyDescent="0.35">
      <c r="A11" t="s">
        <v>9</v>
      </c>
      <c r="C11" t="s">
        <v>10</v>
      </c>
      <c r="E11" t="s">
        <v>11</v>
      </c>
    </row>
    <row r="12" spans="1:7" x14ac:dyDescent="0.35">
      <c r="E12" t="s">
        <v>12</v>
      </c>
    </row>
    <row r="13" spans="1:7" x14ac:dyDescent="0.35">
      <c r="E13" t="s">
        <v>13</v>
      </c>
    </row>
    <row r="15" spans="1:7" x14ac:dyDescent="0.35">
      <c r="D15" s="2" t="s">
        <v>14</v>
      </c>
      <c r="E15" s="2" t="s">
        <v>15</v>
      </c>
      <c r="F15" s="2"/>
      <c r="G15" s="2" t="s">
        <v>16</v>
      </c>
    </row>
    <row r="16" spans="1:7" x14ac:dyDescent="0.35">
      <c r="A16" t="s">
        <v>17</v>
      </c>
      <c r="D16" t="s">
        <v>18</v>
      </c>
      <c r="E16" t="s">
        <v>19</v>
      </c>
      <c r="G16" s="3">
        <v>11000</v>
      </c>
    </row>
    <row r="17" spans="1:7" x14ac:dyDescent="0.35">
      <c r="E17" t="s">
        <v>20</v>
      </c>
      <c r="G17" s="4" t="s">
        <v>22</v>
      </c>
    </row>
    <row r="18" spans="1:7" x14ac:dyDescent="0.35">
      <c r="E18" t="s">
        <v>21</v>
      </c>
    </row>
    <row r="20" spans="1:7" x14ac:dyDescent="0.35">
      <c r="A20" t="s">
        <v>23</v>
      </c>
      <c r="D20" t="s">
        <v>18</v>
      </c>
      <c r="E20" t="s">
        <v>19</v>
      </c>
      <c r="G20" s="3">
        <v>11000</v>
      </c>
    </row>
    <row r="21" spans="1:7" x14ac:dyDescent="0.35">
      <c r="E21" t="s">
        <v>24</v>
      </c>
      <c r="G21" s="4" t="s">
        <v>26</v>
      </c>
    </row>
    <row r="22" spans="1:7" x14ac:dyDescent="0.35">
      <c r="E22" t="s">
        <v>25</v>
      </c>
    </row>
    <row r="24" spans="1:7" x14ac:dyDescent="0.35">
      <c r="A24" s="2" t="s">
        <v>27</v>
      </c>
      <c r="D24" s="2" t="s">
        <v>14</v>
      </c>
      <c r="E24" s="2" t="s">
        <v>15</v>
      </c>
      <c r="F24" s="2"/>
      <c r="G24" s="2" t="s">
        <v>16</v>
      </c>
    </row>
    <row r="25" spans="1:7" x14ac:dyDescent="0.35">
      <c r="A25" t="s">
        <v>17</v>
      </c>
      <c r="D25" t="s">
        <v>18</v>
      </c>
      <c r="E25" t="s">
        <v>19</v>
      </c>
      <c r="G25" s="3">
        <v>11000</v>
      </c>
    </row>
    <row r="26" spans="1:7" x14ac:dyDescent="0.35">
      <c r="E26" t="s">
        <v>20</v>
      </c>
      <c r="G26" s="4"/>
    </row>
    <row r="27" spans="1:7" x14ac:dyDescent="0.35">
      <c r="E27" t="s">
        <v>21</v>
      </c>
    </row>
    <row r="29" spans="1:7" x14ac:dyDescent="0.35">
      <c r="E29" t="s">
        <v>28</v>
      </c>
    </row>
    <row r="30" spans="1:7" x14ac:dyDescent="0.35">
      <c r="E30" t="s">
        <v>29</v>
      </c>
    </row>
    <row r="32" spans="1:7" x14ac:dyDescent="0.35">
      <c r="A32" t="s">
        <v>23</v>
      </c>
      <c r="D32" t="s">
        <v>30</v>
      </c>
      <c r="E32" t="s">
        <v>74</v>
      </c>
      <c r="G32" s="3">
        <v>7000</v>
      </c>
    </row>
    <row r="33" spans="4:9" x14ac:dyDescent="0.35">
      <c r="D33" t="s">
        <v>31</v>
      </c>
      <c r="E33" t="s">
        <v>71</v>
      </c>
      <c r="G33" s="4"/>
      <c r="I33" t="s">
        <v>73</v>
      </c>
    </row>
    <row r="34" spans="4:9" x14ac:dyDescent="0.35">
      <c r="E34" t="s">
        <v>70</v>
      </c>
    </row>
    <row r="36" spans="4:9" x14ac:dyDescent="0.35">
      <c r="E36" t="s">
        <v>68</v>
      </c>
      <c r="G36" s="1">
        <v>2000</v>
      </c>
    </row>
    <row r="37" spans="4:9" x14ac:dyDescent="0.35">
      <c r="E37" t="s">
        <v>69</v>
      </c>
      <c r="G37">
        <v>778</v>
      </c>
    </row>
    <row r="38" spans="4:9" x14ac:dyDescent="0.35">
      <c r="E38" t="s">
        <v>32</v>
      </c>
      <c r="G38" s="1">
        <v>2778</v>
      </c>
      <c r="I38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31E1-FA76-4D2B-82C6-77B741039D71}">
  <dimension ref="A1:H46"/>
  <sheetViews>
    <sheetView topLeftCell="A16" zoomScale="150" zoomScaleNormal="150" workbookViewId="0">
      <selection activeCell="H35" sqref="H35"/>
    </sheetView>
  </sheetViews>
  <sheetFormatPr defaultRowHeight="14.5" x14ac:dyDescent="0.35"/>
  <cols>
    <col min="1" max="1" width="10.54296875" bestFit="1" customWidth="1"/>
    <col min="4" max="4" width="13.81640625" customWidth="1"/>
    <col min="5" max="5" width="9.7265625" bestFit="1" customWidth="1"/>
    <col min="7" max="7" width="9.7265625" bestFit="1" customWidth="1"/>
    <col min="8" max="8" width="9.1796875" style="5"/>
  </cols>
  <sheetData>
    <row r="1" spans="1:8" x14ac:dyDescent="0.35">
      <c r="B1" s="2" t="s">
        <v>35</v>
      </c>
      <c r="H1" s="5" t="s">
        <v>33</v>
      </c>
    </row>
    <row r="2" spans="1:8" x14ac:dyDescent="0.35">
      <c r="A2" t="s">
        <v>34</v>
      </c>
      <c r="B2" t="s">
        <v>36</v>
      </c>
      <c r="H2" s="5">
        <v>1</v>
      </c>
    </row>
    <row r="3" spans="1:8" x14ac:dyDescent="0.35">
      <c r="B3" t="s">
        <v>37</v>
      </c>
      <c r="H3" s="5">
        <v>1</v>
      </c>
    </row>
    <row r="4" spans="1:8" x14ac:dyDescent="0.35">
      <c r="B4" t="s">
        <v>38</v>
      </c>
      <c r="H4" s="5">
        <v>1</v>
      </c>
    </row>
    <row r="5" spans="1:8" x14ac:dyDescent="0.35">
      <c r="B5" t="s">
        <v>39</v>
      </c>
      <c r="H5" s="5">
        <v>1</v>
      </c>
    </row>
    <row r="6" spans="1:8" x14ac:dyDescent="0.35">
      <c r="B6" t="s">
        <v>40</v>
      </c>
      <c r="H6" s="5">
        <v>1</v>
      </c>
    </row>
    <row r="8" spans="1:8" x14ac:dyDescent="0.35">
      <c r="A8" t="s">
        <v>41</v>
      </c>
      <c r="E8" t="s">
        <v>42</v>
      </c>
      <c r="F8" s="4" t="s">
        <v>42</v>
      </c>
      <c r="G8" t="s">
        <v>42</v>
      </c>
    </row>
    <row r="9" spans="1:8" x14ac:dyDescent="0.35">
      <c r="F9" s="4" t="s">
        <v>43</v>
      </c>
      <c r="G9" t="s">
        <v>44</v>
      </c>
    </row>
    <row r="10" spans="1:8" x14ac:dyDescent="0.35">
      <c r="B10" t="s">
        <v>45</v>
      </c>
      <c r="E10" s="6">
        <v>2000</v>
      </c>
      <c r="F10" s="7"/>
      <c r="G10" s="6">
        <f>E10</f>
        <v>2000</v>
      </c>
      <c r="H10" s="5">
        <v>1</v>
      </c>
    </row>
    <row r="11" spans="1:8" x14ac:dyDescent="0.35">
      <c r="B11" t="s">
        <v>46</v>
      </c>
      <c r="E11" s="7">
        <f>-0.06*E10</f>
        <v>-120</v>
      </c>
      <c r="F11" s="7"/>
      <c r="G11" s="7">
        <f>E11</f>
        <v>-120</v>
      </c>
      <c r="H11" s="5">
        <v>1</v>
      </c>
    </row>
    <row r="12" spans="1:8" x14ac:dyDescent="0.35">
      <c r="B12" t="s">
        <v>47</v>
      </c>
      <c r="E12" s="6">
        <v>9</v>
      </c>
      <c r="F12" s="7"/>
      <c r="G12" s="6">
        <f>E12</f>
        <v>9</v>
      </c>
      <c r="H12" s="5">
        <v>1</v>
      </c>
    </row>
    <row r="13" spans="1:8" x14ac:dyDescent="0.35">
      <c r="B13" t="s">
        <v>48</v>
      </c>
      <c r="E13" s="6">
        <v>24</v>
      </c>
      <c r="F13" s="7"/>
      <c r="G13" s="6">
        <f>E13</f>
        <v>24</v>
      </c>
      <c r="H13" s="5">
        <v>1</v>
      </c>
    </row>
    <row r="14" spans="1:8" x14ac:dyDescent="0.35">
      <c r="B14" t="s">
        <v>49</v>
      </c>
      <c r="E14" s="6">
        <v>15</v>
      </c>
      <c r="F14" s="7"/>
      <c r="G14" s="6">
        <f>E14</f>
        <v>15</v>
      </c>
      <c r="H14" s="5">
        <v>1</v>
      </c>
    </row>
    <row r="15" spans="1:8" x14ac:dyDescent="0.35">
      <c r="B15" t="s">
        <v>50</v>
      </c>
      <c r="E15" s="6">
        <v>24</v>
      </c>
      <c r="F15" s="7">
        <f>E15</f>
        <v>24</v>
      </c>
      <c r="G15" s="6"/>
      <c r="H15" s="5">
        <v>1</v>
      </c>
    </row>
    <row r="16" spans="1:8" x14ac:dyDescent="0.35">
      <c r="B16" t="s">
        <v>53</v>
      </c>
      <c r="E16" s="6">
        <v>5</v>
      </c>
      <c r="F16" s="7"/>
      <c r="G16" s="6">
        <f>E16</f>
        <v>5</v>
      </c>
      <c r="H16" s="5">
        <v>1</v>
      </c>
    </row>
    <row r="17" spans="1:8" x14ac:dyDescent="0.35">
      <c r="B17" t="s">
        <v>52</v>
      </c>
      <c r="E17" s="6">
        <v>12</v>
      </c>
      <c r="F17" s="7"/>
      <c r="G17" s="6">
        <f>E17</f>
        <v>12</v>
      </c>
      <c r="H17" s="5">
        <v>1</v>
      </c>
    </row>
    <row r="18" spans="1:8" x14ac:dyDescent="0.35">
      <c r="B18" t="s">
        <v>51</v>
      </c>
      <c r="E18" s="6">
        <v>21</v>
      </c>
      <c r="F18" s="7">
        <f>E18</f>
        <v>21</v>
      </c>
      <c r="G18" s="6"/>
      <c r="H18" s="5">
        <v>1</v>
      </c>
    </row>
    <row r="19" spans="1:8" x14ac:dyDescent="0.35">
      <c r="B19" s="2" t="s">
        <v>54</v>
      </c>
      <c r="E19" s="8">
        <f>SUM(E10:E18)</f>
        <v>1990</v>
      </c>
      <c r="F19" s="8">
        <f>SUM(F10:F18)</f>
        <v>45</v>
      </c>
      <c r="G19" s="8">
        <f>SUM(G10:G18)</f>
        <v>1945</v>
      </c>
      <c r="H19" s="5">
        <v>1</v>
      </c>
    </row>
    <row r="20" spans="1:8" x14ac:dyDescent="0.35">
      <c r="E20" s="6"/>
      <c r="F20" s="7"/>
      <c r="G20" s="6"/>
    </row>
    <row r="21" spans="1:8" x14ac:dyDescent="0.35">
      <c r="A21" t="s">
        <v>55</v>
      </c>
      <c r="E21" s="6"/>
      <c r="F21" s="7"/>
      <c r="G21" s="6"/>
      <c r="H21" s="5">
        <f>SUM(H10:H19)</f>
        <v>10</v>
      </c>
    </row>
    <row r="22" spans="1:8" x14ac:dyDescent="0.35">
      <c r="E22" t="s">
        <v>56</v>
      </c>
      <c r="F22" s="9" t="s">
        <v>57</v>
      </c>
      <c r="G22" s="9" t="s">
        <v>58</v>
      </c>
    </row>
    <row r="23" spans="1:8" x14ac:dyDescent="0.35">
      <c r="E23" t="s">
        <v>42</v>
      </c>
      <c r="F23" t="s">
        <v>42</v>
      </c>
      <c r="G23" t="s">
        <v>42</v>
      </c>
    </row>
    <row r="24" spans="1:8" x14ac:dyDescent="0.35">
      <c r="A24" s="2" t="s">
        <v>59</v>
      </c>
      <c r="F24" s="9"/>
      <c r="G24" s="9"/>
    </row>
    <row r="25" spans="1:8" x14ac:dyDescent="0.35">
      <c r="A25" s="10">
        <v>41821</v>
      </c>
      <c r="B25" t="s">
        <v>60</v>
      </c>
      <c r="E25">
        <v>400</v>
      </c>
      <c r="F25" s="9">
        <v>800</v>
      </c>
      <c r="G25" s="11">
        <f>E25+F25</f>
        <v>1200</v>
      </c>
    </row>
    <row r="26" spans="1:8" x14ac:dyDescent="0.35">
      <c r="B26" t="s">
        <v>61</v>
      </c>
      <c r="F26" s="9"/>
      <c r="G26" s="11"/>
    </row>
    <row r="27" spans="1:8" x14ac:dyDescent="0.35">
      <c r="B27" t="s">
        <v>62</v>
      </c>
      <c r="F27" s="4">
        <f>-800/50*3</f>
        <v>-48</v>
      </c>
      <c r="G27" s="7">
        <f>F27</f>
        <v>-48</v>
      </c>
      <c r="H27" s="5">
        <v>1</v>
      </c>
    </row>
    <row r="28" spans="1:8" x14ac:dyDescent="0.35">
      <c r="A28" s="15">
        <v>41821</v>
      </c>
      <c r="B28" s="2" t="s">
        <v>63</v>
      </c>
      <c r="C28" s="2"/>
      <c r="D28" s="2"/>
      <c r="E28" s="2">
        <f>E25+E27</f>
        <v>400</v>
      </c>
      <c r="F28" s="2">
        <f>F25+F27</f>
        <v>752</v>
      </c>
      <c r="G28" s="14">
        <f>E28+F28</f>
        <v>1152</v>
      </c>
      <c r="H28" s="5">
        <v>1</v>
      </c>
    </row>
    <row r="29" spans="1:8" x14ac:dyDescent="0.35">
      <c r="A29" t="s">
        <v>64</v>
      </c>
      <c r="E29">
        <v>60</v>
      </c>
      <c r="F29" s="12">
        <f>F30-F28</f>
        <v>188</v>
      </c>
      <c r="G29" s="11">
        <f>E29+F29</f>
        <v>248</v>
      </c>
      <c r="H29" s="5">
        <v>1</v>
      </c>
    </row>
    <row r="30" spans="1:8" x14ac:dyDescent="0.35">
      <c r="A30" s="2" t="s">
        <v>65</v>
      </c>
      <c r="B30" s="2"/>
      <c r="C30" s="2"/>
      <c r="D30" s="2"/>
      <c r="E30" s="2">
        <v>460</v>
      </c>
      <c r="F30" s="13">
        <f>G30-E30</f>
        <v>940</v>
      </c>
      <c r="G30" s="14">
        <v>1400</v>
      </c>
    </row>
    <row r="31" spans="1:8" x14ac:dyDescent="0.35">
      <c r="A31" s="10">
        <v>43281</v>
      </c>
      <c r="B31" t="s">
        <v>66</v>
      </c>
      <c r="F31" s="4">
        <f>-940/47</f>
        <v>-20</v>
      </c>
      <c r="G31" s="7">
        <f>F31</f>
        <v>-20</v>
      </c>
      <c r="H31" s="5">
        <v>1</v>
      </c>
    </row>
    <row r="32" spans="1:8" x14ac:dyDescent="0.35">
      <c r="A32" s="10">
        <v>43281</v>
      </c>
      <c r="B32" s="2" t="s">
        <v>67</v>
      </c>
      <c r="E32" s="2">
        <f>E30+E31</f>
        <v>460</v>
      </c>
      <c r="F32" s="2">
        <f>F30+F31</f>
        <v>920</v>
      </c>
      <c r="G32" s="8">
        <f>G30+G31</f>
        <v>1380</v>
      </c>
      <c r="H32" s="5">
        <v>1</v>
      </c>
    </row>
    <row r="33" spans="6:8" x14ac:dyDescent="0.35">
      <c r="F33" s="9"/>
      <c r="G33" s="9"/>
    </row>
    <row r="34" spans="6:8" x14ac:dyDescent="0.35">
      <c r="F34" s="9"/>
      <c r="G34" s="9"/>
      <c r="H34" s="5">
        <f>SUM(H27:H32)</f>
        <v>5</v>
      </c>
    </row>
    <row r="35" spans="6:8" x14ac:dyDescent="0.35">
      <c r="F35" s="9"/>
      <c r="G35" s="9"/>
    </row>
    <row r="36" spans="6:8" x14ac:dyDescent="0.35">
      <c r="F36" s="9"/>
      <c r="G36" s="9"/>
    </row>
    <row r="37" spans="6:8" x14ac:dyDescent="0.35">
      <c r="F37" s="9"/>
      <c r="G37" s="9"/>
    </row>
    <row r="38" spans="6:8" x14ac:dyDescent="0.35">
      <c r="F38" s="9"/>
      <c r="G38" s="9"/>
    </row>
    <row r="39" spans="6:8" x14ac:dyDescent="0.35">
      <c r="F39" s="9"/>
      <c r="G39" s="9"/>
    </row>
    <row r="40" spans="6:8" x14ac:dyDescent="0.35">
      <c r="F40" s="9"/>
      <c r="G40" s="9"/>
    </row>
    <row r="41" spans="6:8" x14ac:dyDescent="0.35">
      <c r="F41" s="9"/>
      <c r="G41" s="9"/>
    </row>
    <row r="42" spans="6:8" x14ac:dyDescent="0.35">
      <c r="F42" s="9"/>
      <c r="G42" s="9"/>
    </row>
    <row r="43" spans="6:8" x14ac:dyDescent="0.35">
      <c r="F43" s="9"/>
      <c r="G43" s="9"/>
    </row>
    <row r="44" spans="6:8" x14ac:dyDescent="0.35">
      <c r="F44" s="9"/>
      <c r="G44" s="9"/>
    </row>
    <row r="45" spans="6:8" x14ac:dyDescent="0.35">
      <c r="F45" s="9"/>
      <c r="G45" s="9"/>
    </row>
    <row r="46" spans="6:8" x14ac:dyDescent="0.35">
      <c r="F46" s="9"/>
      <c r="G4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2026-02-16T11:37:05Z</dcterms:created>
  <dcterms:modified xsi:type="dcterms:W3CDTF">2026-02-20T11:17:08Z</dcterms:modified>
</cp:coreProperties>
</file>