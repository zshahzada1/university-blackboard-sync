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5B52E36B-2079-4C1C-A5CE-737CA169755F}" xr6:coauthVersionLast="47" xr6:coauthVersionMax="47" xr10:uidLastSave="{00000000-0000-0000-0000-000000000000}"/>
  <bookViews>
    <workbookView xWindow="-110" yWindow="-110" windowWidth="19420" windowHeight="10300" firstSheet="1" activeTab="1" xr2:uid="{B3096C33-35CB-4D44-B592-1DB21542FD16}"/>
  </bookViews>
  <sheets>
    <sheet name="IAS16" sheetId="1" r:id="rId1"/>
    <sheet name="Strawberry&amp;Pea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F37" i="2"/>
  <c r="G37" i="2" s="1"/>
  <c r="F35" i="2"/>
  <c r="G35" i="2" s="1"/>
  <c r="F36" i="2"/>
  <c r="F38" i="2" s="1"/>
  <c r="F34" i="2"/>
  <c r="G34" i="2" s="1"/>
  <c r="G33" i="2"/>
  <c r="F33" i="2"/>
  <c r="G32" i="2"/>
  <c r="H41" i="2"/>
  <c r="F20" i="2"/>
  <c r="G19" i="2"/>
  <c r="G18" i="2"/>
  <c r="F17" i="2"/>
  <c r="G16" i="2"/>
  <c r="G15" i="2"/>
  <c r="G14" i="2"/>
  <c r="G13" i="2"/>
  <c r="G12" i="2"/>
  <c r="H23" i="2"/>
  <c r="E21" i="2"/>
  <c r="E13" i="2"/>
  <c r="H8" i="2"/>
  <c r="G38" i="2" l="1"/>
  <c r="G36" i="2"/>
  <c r="F21" i="2"/>
  <c r="G21" i="2"/>
</calcChain>
</file>

<file path=xl/sharedStrings.xml><?xml version="1.0" encoding="utf-8"?>
<sst xmlns="http://schemas.openxmlformats.org/spreadsheetml/2006/main" count="100" uniqueCount="73">
  <si>
    <t>Cost</t>
  </si>
  <si>
    <t>useful life</t>
  </si>
  <si>
    <t>10 years</t>
  </si>
  <si>
    <t>No residual value</t>
  </si>
  <si>
    <t xml:space="preserve">Yr1 - Mkt value </t>
  </si>
  <si>
    <t>IAS16</t>
  </si>
  <si>
    <t>COST MODEL</t>
  </si>
  <si>
    <t>Initial measurement</t>
  </si>
  <si>
    <t>Y1</t>
  </si>
  <si>
    <t>SOCI</t>
  </si>
  <si>
    <t>SOFP</t>
  </si>
  <si>
    <t>Mkt value</t>
  </si>
  <si>
    <t>Dep 1,000</t>
  </si>
  <si>
    <t>(Cost - residual value)/ usefli life</t>
  </si>
  <si>
    <t>(10,000-0)/10 year</t>
  </si>
  <si>
    <t>Cost 10,000</t>
  </si>
  <si>
    <t>Acc Dep 1,000</t>
  </si>
  <si>
    <t>CV/ NBV 9,000</t>
  </si>
  <si>
    <t>IGNORE IT</t>
  </si>
  <si>
    <t>Subsequent measurement</t>
  </si>
  <si>
    <t>Y2</t>
  </si>
  <si>
    <t>Acc Dep 2,000</t>
  </si>
  <si>
    <t>CV/ NBV 8,000</t>
  </si>
  <si>
    <t>REVALUTION MODEL</t>
  </si>
  <si>
    <t>See journal entry at end of year</t>
  </si>
  <si>
    <t xml:space="preserve">Dr Asset </t>
  </si>
  <si>
    <t xml:space="preserve"> (Mkt value 11,000 - les carrying amouint of 9,000)</t>
  </si>
  <si>
    <t>Cr Revaluatiion Reserve</t>
  </si>
  <si>
    <t>(Revaluation - residual value)/ usefli life</t>
  </si>
  <si>
    <t>(11,000-0)/9 year</t>
  </si>
  <si>
    <t>Dep 1,222</t>
  </si>
  <si>
    <t>Cost/ Rev 11,000</t>
  </si>
  <si>
    <t>Acc Dep 1,222</t>
  </si>
  <si>
    <t>CV/ NBV 9,778</t>
  </si>
  <si>
    <t>Cr Asset 2,778</t>
  </si>
  <si>
    <t>Dr Revaluaion Reseve 2,000</t>
  </si>
  <si>
    <t>Dr P&amp;L 778</t>
  </si>
  <si>
    <t>The asset value is ging down with the reduced revalution from 9,778 - 7,000 the new revaluaeed amount</t>
  </si>
  <si>
    <t>a) i)</t>
  </si>
  <si>
    <t>Marks</t>
  </si>
  <si>
    <t>Definition of PPE</t>
  </si>
  <si>
    <t>1). Tangible items</t>
  </si>
  <si>
    <t>2). Held for use in the production of goods or services</t>
  </si>
  <si>
    <t>Total</t>
  </si>
  <si>
    <t>3).  Use for more than one accounting year</t>
  </si>
  <si>
    <t>4). Use for rental</t>
  </si>
  <si>
    <t>5). Used for administrative purposes</t>
  </si>
  <si>
    <t>ii)</t>
  </si>
  <si>
    <t>$'000</t>
  </si>
  <si>
    <t>Exclude</t>
  </si>
  <si>
    <t>Include</t>
  </si>
  <si>
    <t>List price of the plamt</t>
  </si>
  <si>
    <t>Discount at 6%</t>
  </si>
  <si>
    <t>Delivery</t>
  </si>
  <si>
    <t>Installation</t>
  </si>
  <si>
    <t>Testing</t>
  </si>
  <si>
    <t>Annual maintenance</t>
  </si>
  <si>
    <t>Legal fees</t>
  </si>
  <si>
    <t>Site preparation</t>
  </si>
  <si>
    <t>Training</t>
  </si>
  <si>
    <t>Dr PPE</t>
  </si>
  <si>
    <t>Cr Cash/ Bank</t>
  </si>
  <si>
    <t>Dr P &amp; L</t>
  </si>
  <si>
    <t>Expenses that are not capitlised</t>
  </si>
  <si>
    <t>Date</t>
  </si>
  <si>
    <t>Land</t>
  </si>
  <si>
    <t>Buildings</t>
  </si>
  <si>
    <t>Dep 1/7/2017</t>
  </si>
  <si>
    <t>CV before revaluatiom</t>
  </si>
  <si>
    <t>Revaluation Gain</t>
  </si>
  <si>
    <t>Revaluation</t>
  </si>
  <si>
    <t>Depreciation</t>
  </si>
  <si>
    <t>Carrying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</si>
</sst>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3" fontId="3" fillId="0" borderId="0" xfId="0" applyNumberFormat="1" applyFont="1"/>
    <xf numFmtId="0" fontId="0" fillId="0" borderId="1" xfId="0" applyBorder="1"/>
    <xf numFmtId="0" fontId="0" fillId="0" borderId="0" xfId="0" applyBorder="1"/>
    <xf numFmtId="165" fontId="0" fillId="0" borderId="0" xfId="1" applyNumberFormat="1" applyFont="1" applyBorder="1"/>
    <xf numFmtId="0" fontId="0" fillId="0" borderId="2" xfId="0" applyBorder="1"/>
    <xf numFmtId="0" fontId="3" fillId="0" borderId="2" xfId="0" applyFont="1" applyBorder="1"/>
    <xf numFmtId="14" fontId="0" fillId="0" borderId="2" xfId="0" applyNumberFormat="1" applyBorder="1"/>
    <xf numFmtId="165" fontId="0" fillId="0" borderId="2" xfId="1" applyNumberFormat="1" applyFont="1" applyBorder="1"/>
    <xf numFmtId="165" fontId="3" fillId="0" borderId="2" xfId="1" applyNumberFormat="1" applyFont="1" applyBorder="1"/>
    <xf numFmtId="0" fontId="0" fillId="0" borderId="2" xfId="0" applyFill="1" applyBorder="1"/>
    <xf numFmtId="0" fontId="2" fillId="0" borderId="2" xfId="0" applyFont="1" applyBorder="1"/>
    <xf numFmtId="165" fontId="2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471F-D5CF-41D8-82B1-1D05B46E0B80}">
  <dimension ref="A1:I33"/>
  <sheetViews>
    <sheetView topLeftCell="A13" workbookViewId="0">
      <selection activeCell="F28" sqref="F28"/>
    </sheetView>
  </sheetViews>
  <sheetFormatPr defaultRowHeight="14.5" x14ac:dyDescent="0.35"/>
  <cols>
    <col min="1" max="1" width="14.6328125" bestFit="1" customWidth="1"/>
    <col min="5" max="5" width="27.90625" customWidth="1"/>
  </cols>
  <sheetData>
    <row r="1" spans="1:8" x14ac:dyDescent="0.35">
      <c r="A1" t="s">
        <v>5</v>
      </c>
    </row>
    <row r="2" spans="1:8" x14ac:dyDescent="0.35">
      <c r="A2" t="s">
        <v>0</v>
      </c>
      <c r="B2" s="1">
        <v>10000</v>
      </c>
    </row>
    <row r="3" spans="1:8" x14ac:dyDescent="0.35">
      <c r="A3" t="s">
        <v>1</v>
      </c>
      <c r="B3" t="s">
        <v>2</v>
      </c>
    </row>
    <row r="4" spans="1:8" x14ac:dyDescent="0.35">
      <c r="A4" t="s">
        <v>3</v>
      </c>
    </row>
    <row r="5" spans="1:8" x14ac:dyDescent="0.35">
      <c r="A5" t="s">
        <v>4</v>
      </c>
      <c r="B5" s="1">
        <v>11000</v>
      </c>
    </row>
    <row r="6" spans="1:8" x14ac:dyDescent="0.35">
      <c r="A6" t="s">
        <v>4</v>
      </c>
      <c r="B6" s="1">
        <v>7000</v>
      </c>
    </row>
    <row r="8" spans="1:8" x14ac:dyDescent="0.35">
      <c r="A8" s="2" t="s">
        <v>6</v>
      </c>
    </row>
    <row r="9" spans="1:8" x14ac:dyDescent="0.35">
      <c r="E9" t="s">
        <v>9</v>
      </c>
      <c r="F9" t="s">
        <v>10</v>
      </c>
      <c r="H9" t="s">
        <v>11</v>
      </c>
    </row>
    <row r="10" spans="1:8" x14ac:dyDescent="0.35">
      <c r="A10" t="s">
        <v>7</v>
      </c>
      <c r="C10" t="s">
        <v>8</v>
      </c>
      <c r="E10" t="s">
        <v>12</v>
      </c>
      <c r="F10" t="s">
        <v>15</v>
      </c>
      <c r="H10" s="1">
        <v>11000</v>
      </c>
    </row>
    <row r="11" spans="1:8" x14ac:dyDescent="0.35">
      <c r="E11" t="s">
        <v>13</v>
      </c>
      <c r="F11" t="s">
        <v>16</v>
      </c>
      <c r="H11" t="s">
        <v>18</v>
      </c>
    </row>
    <row r="12" spans="1:8" x14ac:dyDescent="0.35">
      <c r="E12" t="s">
        <v>14</v>
      </c>
      <c r="F12" t="s">
        <v>17</v>
      </c>
    </row>
    <row r="14" spans="1:8" x14ac:dyDescent="0.35">
      <c r="A14" t="s">
        <v>19</v>
      </c>
      <c r="C14" t="s">
        <v>20</v>
      </c>
      <c r="E14" t="s">
        <v>12</v>
      </c>
      <c r="F14" t="s">
        <v>15</v>
      </c>
      <c r="H14" s="1">
        <v>7000</v>
      </c>
    </row>
    <row r="15" spans="1:8" x14ac:dyDescent="0.35">
      <c r="E15" t="s">
        <v>13</v>
      </c>
      <c r="F15" t="s">
        <v>21</v>
      </c>
      <c r="H15" t="s">
        <v>18</v>
      </c>
    </row>
    <row r="16" spans="1:8" x14ac:dyDescent="0.35">
      <c r="E16" t="s">
        <v>14</v>
      </c>
      <c r="F16" t="s">
        <v>22</v>
      </c>
    </row>
    <row r="18" spans="1:9" x14ac:dyDescent="0.35">
      <c r="A18" t="s">
        <v>23</v>
      </c>
    </row>
    <row r="20" spans="1:9" x14ac:dyDescent="0.35">
      <c r="A20" t="s">
        <v>7</v>
      </c>
      <c r="C20" t="s">
        <v>8</v>
      </c>
      <c r="E20" t="s">
        <v>12</v>
      </c>
      <c r="F20" t="s">
        <v>15</v>
      </c>
      <c r="H20" s="1">
        <v>11000</v>
      </c>
    </row>
    <row r="21" spans="1:9" x14ac:dyDescent="0.35">
      <c r="E21" t="s">
        <v>13</v>
      </c>
      <c r="F21" t="s">
        <v>16</v>
      </c>
      <c r="H21" t="s">
        <v>24</v>
      </c>
    </row>
    <row r="22" spans="1:9" x14ac:dyDescent="0.35">
      <c r="E22" t="s">
        <v>14</v>
      </c>
      <c r="F22" t="s">
        <v>17</v>
      </c>
    </row>
    <row r="24" spans="1:9" x14ac:dyDescent="0.35">
      <c r="F24" s="3" t="s">
        <v>25</v>
      </c>
      <c r="G24" s="1">
        <v>2000</v>
      </c>
      <c r="H24" t="s">
        <v>26</v>
      </c>
    </row>
    <row r="25" spans="1:9" x14ac:dyDescent="0.35">
      <c r="F25" s="3" t="s">
        <v>27</v>
      </c>
      <c r="G25">
        <v>2000</v>
      </c>
    </row>
    <row r="27" spans="1:9" x14ac:dyDescent="0.35">
      <c r="A27" t="s">
        <v>19</v>
      </c>
      <c r="C27" t="s">
        <v>20</v>
      </c>
      <c r="E27" t="s">
        <v>30</v>
      </c>
      <c r="F27" t="s">
        <v>31</v>
      </c>
    </row>
    <row r="28" spans="1:9" x14ac:dyDescent="0.35">
      <c r="E28" t="s">
        <v>28</v>
      </c>
      <c r="F28" t="s">
        <v>32</v>
      </c>
      <c r="H28" s="1">
        <v>7000</v>
      </c>
    </row>
    <row r="29" spans="1:9" x14ac:dyDescent="0.35">
      <c r="E29" t="s">
        <v>29</v>
      </c>
      <c r="F29" t="s">
        <v>33</v>
      </c>
      <c r="H29" t="s">
        <v>24</v>
      </c>
    </row>
    <row r="31" spans="1:9" x14ac:dyDescent="0.35">
      <c r="F31" t="s">
        <v>35</v>
      </c>
      <c r="I31" t="s">
        <v>37</v>
      </c>
    </row>
    <row r="32" spans="1:9" x14ac:dyDescent="0.35">
      <c r="F32" t="s">
        <v>36</v>
      </c>
    </row>
    <row r="33" spans="6:6" x14ac:dyDescent="0.35">
      <c r="F33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D123-150F-4E11-8853-C29BA6F545C2}">
  <dimension ref="A1:H41"/>
  <sheetViews>
    <sheetView tabSelected="1" topLeftCell="A27" workbookViewId="0">
      <selection activeCell="F37" sqref="F37:G37"/>
    </sheetView>
  </sheetViews>
  <sheetFormatPr defaultRowHeight="14.5" x14ac:dyDescent="0.35"/>
  <cols>
    <col min="2" max="2" width="10.08984375" bestFit="1" customWidth="1"/>
    <col min="7" max="7" width="9.1796875" bestFit="1" customWidth="1"/>
    <col min="8" max="8" width="8.7265625" style="5"/>
  </cols>
  <sheetData>
    <row r="1" spans="1:8" x14ac:dyDescent="0.35">
      <c r="H1" s="5" t="s">
        <v>39</v>
      </c>
    </row>
    <row r="2" spans="1:8" x14ac:dyDescent="0.35">
      <c r="A2" t="s">
        <v>38</v>
      </c>
      <c r="B2" t="s">
        <v>40</v>
      </c>
    </row>
    <row r="3" spans="1:8" x14ac:dyDescent="0.35">
      <c r="B3" t="s">
        <v>41</v>
      </c>
      <c r="H3" s="5">
        <v>1</v>
      </c>
    </row>
    <row r="4" spans="1:8" x14ac:dyDescent="0.35">
      <c r="B4" t="s">
        <v>42</v>
      </c>
      <c r="H4" s="5">
        <v>1</v>
      </c>
    </row>
    <row r="5" spans="1:8" x14ac:dyDescent="0.35">
      <c r="B5" t="s">
        <v>44</v>
      </c>
      <c r="H5" s="5">
        <v>1</v>
      </c>
    </row>
    <row r="6" spans="1:8" x14ac:dyDescent="0.35">
      <c r="B6" t="s">
        <v>45</v>
      </c>
      <c r="H6" s="5">
        <v>1</v>
      </c>
    </row>
    <row r="7" spans="1:8" x14ac:dyDescent="0.35">
      <c r="B7" t="s">
        <v>46</v>
      </c>
      <c r="H7" s="5">
        <v>1</v>
      </c>
    </row>
    <row r="8" spans="1:8" x14ac:dyDescent="0.35">
      <c r="G8" t="s">
        <v>43</v>
      </c>
      <c r="H8" s="5">
        <f>SUM(H3:H7)</f>
        <v>5</v>
      </c>
    </row>
    <row r="10" spans="1:8" x14ac:dyDescent="0.35">
      <c r="A10" t="s">
        <v>47</v>
      </c>
      <c r="E10" s="2" t="s">
        <v>48</v>
      </c>
      <c r="F10" s="6" t="s">
        <v>48</v>
      </c>
      <c r="G10" s="2" t="s">
        <v>48</v>
      </c>
    </row>
    <row r="11" spans="1:8" x14ac:dyDescent="0.35">
      <c r="E11" s="2"/>
      <c r="F11" s="6" t="s">
        <v>49</v>
      </c>
      <c r="G11" s="2" t="s">
        <v>50</v>
      </c>
    </row>
    <row r="12" spans="1:8" x14ac:dyDescent="0.35">
      <c r="B12" t="s">
        <v>51</v>
      </c>
      <c r="E12" s="1">
        <v>2000</v>
      </c>
      <c r="F12" s="4"/>
      <c r="G12" s="1">
        <f>E12</f>
        <v>2000</v>
      </c>
      <c r="H12" s="5">
        <v>1</v>
      </c>
    </row>
    <row r="13" spans="1:8" x14ac:dyDescent="0.35">
      <c r="B13" t="s">
        <v>52</v>
      </c>
      <c r="E13">
        <f>-0.06*E12</f>
        <v>-120</v>
      </c>
      <c r="F13" s="4"/>
      <c r="G13">
        <f>E13</f>
        <v>-120</v>
      </c>
      <c r="H13" s="5">
        <v>1</v>
      </c>
    </row>
    <row r="14" spans="1:8" x14ac:dyDescent="0.35">
      <c r="B14" t="s">
        <v>53</v>
      </c>
      <c r="E14">
        <v>9</v>
      </c>
      <c r="F14" s="4"/>
      <c r="G14">
        <f>E14</f>
        <v>9</v>
      </c>
      <c r="H14" s="5">
        <v>1</v>
      </c>
    </row>
    <row r="15" spans="1:8" x14ac:dyDescent="0.35">
      <c r="B15" t="s">
        <v>54</v>
      </c>
      <c r="E15">
        <v>24</v>
      </c>
      <c r="F15" s="4"/>
      <c r="G15">
        <f>E15</f>
        <v>24</v>
      </c>
      <c r="H15" s="5">
        <v>1</v>
      </c>
    </row>
    <row r="16" spans="1:8" x14ac:dyDescent="0.35">
      <c r="B16" t="s">
        <v>55</v>
      </c>
      <c r="E16">
        <v>15</v>
      </c>
      <c r="F16" s="4"/>
      <c r="G16">
        <f>E16</f>
        <v>15</v>
      </c>
      <c r="H16" s="5">
        <v>1</v>
      </c>
    </row>
    <row r="17" spans="2:8" x14ac:dyDescent="0.35">
      <c r="B17" t="s">
        <v>56</v>
      </c>
      <c r="E17">
        <v>24</v>
      </c>
      <c r="F17" s="4">
        <f>E17</f>
        <v>24</v>
      </c>
      <c r="H17" s="5">
        <v>1</v>
      </c>
    </row>
    <row r="18" spans="2:8" x14ac:dyDescent="0.35">
      <c r="B18" t="s">
        <v>57</v>
      </c>
      <c r="E18">
        <v>5</v>
      </c>
      <c r="F18" s="4"/>
      <c r="G18">
        <f>E18</f>
        <v>5</v>
      </c>
      <c r="H18" s="5">
        <v>1</v>
      </c>
    </row>
    <row r="19" spans="2:8" x14ac:dyDescent="0.35">
      <c r="B19" t="s">
        <v>58</v>
      </c>
      <c r="E19">
        <v>12</v>
      </c>
      <c r="F19" s="4"/>
      <c r="G19">
        <f>E19</f>
        <v>12</v>
      </c>
      <c r="H19" s="5">
        <v>1</v>
      </c>
    </row>
    <row r="20" spans="2:8" x14ac:dyDescent="0.35">
      <c r="B20" t="s">
        <v>59</v>
      </c>
      <c r="E20">
        <v>21</v>
      </c>
      <c r="F20" s="4">
        <f>E20</f>
        <v>21</v>
      </c>
      <c r="H20" s="5">
        <v>1</v>
      </c>
    </row>
    <row r="21" spans="2:8" x14ac:dyDescent="0.35">
      <c r="E21" s="7">
        <f>SUM(E12:E20)</f>
        <v>1990</v>
      </c>
      <c r="F21" s="7">
        <f>SUM(F12:F20)</f>
        <v>45</v>
      </c>
      <c r="G21" s="7">
        <f>SUM(G12:G20)</f>
        <v>1945</v>
      </c>
    </row>
    <row r="22" spans="2:8" x14ac:dyDescent="0.35">
      <c r="F22" s="4"/>
    </row>
    <row r="23" spans="2:8" x14ac:dyDescent="0.35">
      <c r="F23" s="4"/>
      <c r="G23" t="s">
        <v>43</v>
      </c>
      <c r="H23" s="5">
        <f>SUM(H12:H22)</f>
        <v>9</v>
      </c>
    </row>
    <row r="24" spans="2:8" x14ac:dyDescent="0.35">
      <c r="E24" t="s">
        <v>60</v>
      </c>
      <c r="F24" s="1">
        <v>1945</v>
      </c>
    </row>
    <row r="25" spans="2:8" x14ac:dyDescent="0.35">
      <c r="E25" t="s">
        <v>61</v>
      </c>
      <c r="F25" s="1">
        <v>1945</v>
      </c>
    </row>
    <row r="27" spans="2:8" x14ac:dyDescent="0.35">
      <c r="E27" t="s">
        <v>62</v>
      </c>
      <c r="F27">
        <v>45</v>
      </c>
      <c r="H27" s="5" t="s">
        <v>63</v>
      </c>
    </row>
    <row r="28" spans="2:8" x14ac:dyDescent="0.35">
      <c r="E28" t="s">
        <v>61</v>
      </c>
      <c r="F28">
        <v>45</v>
      </c>
    </row>
    <row r="30" spans="2:8" x14ac:dyDescent="0.35">
      <c r="B30" s="11" t="s">
        <v>64</v>
      </c>
      <c r="C30" s="11"/>
      <c r="D30" s="11"/>
      <c r="E30" s="12" t="s">
        <v>65</v>
      </c>
      <c r="F30" s="12" t="s">
        <v>66</v>
      </c>
      <c r="G30" s="12" t="s">
        <v>43</v>
      </c>
    </row>
    <row r="31" spans="2:8" x14ac:dyDescent="0.35">
      <c r="B31" s="11"/>
      <c r="C31" s="11"/>
      <c r="D31" s="11"/>
      <c r="E31" s="12" t="s">
        <v>48</v>
      </c>
      <c r="F31" s="12" t="s">
        <v>48</v>
      </c>
      <c r="G31" s="12" t="s">
        <v>48</v>
      </c>
    </row>
    <row r="32" spans="2:8" x14ac:dyDescent="0.35">
      <c r="B32" s="13">
        <v>41821</v>
      </c>
      <c r="C32" s="11" t="s">
        <v>0</v>
      </c>
      <c r="D32" s="11"/>
      <c r="E32" s="11">
        <v>400</v>
      </c>
      <c r="F32" s="11">
        <v>800</v>
      </c>
      <c r="G32" s="14">
        <f>E32+F32</f>
        <v>1200</v>
      </c>
    </row>
    <row r="33" spans="2:8" x14ac:dyDescent="0.35">
      <c r="B33" s="11"/>
      <c r="C33" s="11" t="s">
        <v>67</v>
      </c>
      <c r="D33" s="11"/>
      <c r="E33" s="11"/>
      <c r="F33" s="17">
        <f>-(800/50)*3</f>
        <v>-48</v>
      </c>
      <c r="G33" s="18">
        <f>F33</f>
        <v>-48</v>
      </c>
      <c r="H33" s="5">
        <v>1</v>
      </c>
    </row>
    <row r="34" spans="2:8" x14ac:dyDescent="0.35">
      <c r="B34" s="13">
        <v>42917</v>
      </c>
      <c r="C34" s="11" t="s">
        <v>68</v>
      </c>
      <c r="D34" s="11"/>
      <c r="E34" s="12">
        <v>400</v>
      </c>
      <c r="F34" s="12">
        <f>F32+F33</f>
        <v>752</v>
      </c>
      <c r="G34" s="15">
        <f>E34+F34</f>
        <v>1152</v>
      </c>
      <c r="H34" s="5">
        <v>1</v>
      </c>
    </row>
    <row r="35" spans="2:8" x14ac:dyDescent="0.35">
      <c r="B35" s="11" t="s">
        <v>69</v>
      </c>
      <c r="C35" s="11"/>
      <c r="D35" s="11"/>
      <c r="E35" s="11">
        <v>60</v>
      </c>
      <c r="F35" s="11">
        <f>940-752</f>
        <v>188</v>
      </c>
      <c r="G35" s="14">
        <f>E35+F35</f>
        <v>248</v>
      </c>
      <c r="H35" s="5">
        <v>1</v>
      </c>
    </row>
    <row r="36" spans="2:8" x14ac:dyDescent="0.35">
      <c r="B36" s="11" t="s">
        <v>70</v>
      </c>
      <c r="C36" s="11"/>
      <c r="D36" s="11"/>
      <c r="E36" s="12">
        <v>460</v>
      </c>
      <c r="F36" s="12">
        <f>1400-460</f>
        <v>940</v>
      </c>
      <c r="G36" s="15">
        <f>E36+F36</f>
        <v>1400</v>
      </c>
      <c r="H36" s="5">
        <v>1</v>
      </c>
    </row>
    <row r="37" spans="2:8" x14ac:dyDescent="0.35">
      <c r="B37" s="13">
        <v>43281</v>
      </c>
      <c r="C37" s="16" t="s">
        <v>71</v>
      </c>
      <c r="D37" s="11"/>
      <c r="E37" s="11"/>
      <c r="F37" s="17">
        <f>-940/47</f>
        <v>-20</v>
      </c>
      <c r="G37" s="18">
        <f>F37</f>
        <v>-20</v>
      </c>
      <c r="H37" s="5">
        <v>1</v>
      </c>
    </row>
    <row r="38" spans="2:8" x14ac:dyDescent="0.35">
      <c r="B38" s="13">
        <v>43281</v>
      </c>
      <c r="C38" s="16" t="s">
        <v>72</v>
      </c>
      <c r="D38" s="11"/>
      <c r="E38" s="12">
        <f>E36+E37</f>
        <v>460</v>
      </c>
      <c r="F38" s="12">
        <f>F36+F37</f>
        <v>920</v>
      </c>
      <c r="G38" s="15">
        <f>E38+F38</f>
        <v>1380</v>
      </c>
      <c r="H38" s="5">
        <v>1</v>
      </c>
    </row>
    <row r="39" spans="2:8" x14ac:dyDescent="0.35">
      <c r="B39" s="8"/>
      <c r="C39" s="9"/>
      <c r="D39" s="9"/>
      <c r="E39" s="9"/>
      <c r="F39" s="9"/>
      <c r="G39" s="10"/>
    </row>
    <row r="40" spans="2:8" x14ac:dyDescent="0.35">
      <c r="B40" s="8"/>
      <c r="C40" s="9"/>
      <c r="D40" s="9"/>
      <c r="E40" s="9"/>
      <c r="F40" s="9"/>
      <c r="G40" s="9"/>
    </row>
    <row r="41" spans="2:8" x14ac:dyDescent="0.35">
      <c r="G41" t="s">
        <v>43</v>
      </c>
      <c r="H41" s="5">
        <f>SUM(H30:H40)</f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IAS16</vt:lpstr>
      <vt:lpstr>Strawberry&amp;Peach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2026-02-20T10:52:12Z</dcterms:created>
  <dcterms:modified xsi:type="dcterms:W3CDTF">2026-02-20T12:52:57Z</dcterms:modified>
</cp:coreProperties>
</file>