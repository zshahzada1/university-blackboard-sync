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629\Downloads\"/>
    </mc:Choice>
  </mc:AlternateContent>
  <xr:revisionPtr revIDLastSave="0" documentId="13_ncr:1_{57693378-8636-4254-920D-8E15B489602E}" xr6:coauthVersionLast="47" xr6:coauthVersionMax="47" xr10:uidLastSave="{00000000-0000-0000-0000-000000000000}"/>
  <bookViews>
    <workbookView xWindow="-110" yWindow="-110" windowWidth="19420" windowHeight="10300" xr2:uid="{059B0EF1-188E-4E16-81EF-7F955F57CBC0}"/>
  </bookViews>
  <sheets>
    <sheet name="Freestyle" sheetId="1" r:id="rId1"/>
    <sheet name="Exam ty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2" l="1"/>
  <c r="H34" i="2"/>
  <c r="H35" i="2"/>
  <c r="G35" i="2"/>
  <c r="F35" i="2"/>
  <c r="G34" i="2"/>
  <c r="H32" i="2"/>
  <c r="G32" i="2"/>
  <c r="G33" i="2"/>
  <c r="H31" i="2"/>
  <c r="G31" i="2"/>
  <c r="F31" i="2"/>
  <c r="H30" i="2"/>
  <c r="G30" i="2"/>
  <c r="H29" i="2"/>
  <c r="G20" i="2"/>
  <c r="H19" i="2"/>
  <c r="H18" i="2"/>
  <c r="G17" i="2"/>
  <c r="H16" i="2"/>
  <c r="H15" i="2"/>
  <c r="I22" i="2"/>
  <c r="H14" i="2"/>
  <c r="H13" i="2"/>
  <c r="H12" i="2"/>
  <c r="F13" i="2"/>
  <c r="F21" i="2" s="1"/>
  <c r="I7" i="2"/>
  <c r="G21" i="2" l="1"/>
  <c r="H21" i="2"/>
</calcChain>
</file>

<file path=xl/sharedStrings.xml><?xml version="1.0" encoding="utf-8"?>
<sst xmlns="http://schemas.openxmlformats.org/spreadsheetml/2006/main" count="96" uniqueCount="73">
  <si>
    <t>IAS16</t>
  </si>
  <si>
    <t>Asset cost</t>
  </si>
  <si>
    <t>Residual vAlue</t>
  </si>
  <si>
    <t>Estimatd life</t>
  </si>
  <si>
    <t>10 yrs</t>
  </si>
  <si>
    <t>Yr1 Market Value</t>
  </si>
  <si>
    <t>Yr2 Market Value</t>
  </si>
  <si>
    <t>P+L</t>
  </si>
  <si>
    <t>Bal Sheet</t>
  </si>
  <si>
    <t>SOCI</t>
  </si>
  <si>
    <t>SOFP</t>
  </si>
  <si>
    <t>Mkt Value</t>
  </si>
  <si>
    <t>COST MODEL</t>
  </si>
  <si>
    <t>Yr 1</t>
  </si>
  <si>
    <t>Dep 10,000-0/10yrs</t>
  </si>
  <si>
    <t>Cost - 10,000</t>
  </si>
  <si>
    <t>Acc. Dep 1,000</t>
  </si>
  <si>
    <t>NBV/ CV - 9,000</t>
  </si>
  <si>
    <t>Mkt Value - 11,000</t>
  </si>
  <si>
    <t>IGNORE IT</t>
  </si>
  <si>
    <t>Dep 1,000</t>
  </si>
  <si>
    <t>Acc. Dep 2,000</t>
  </si>
  <si>
    <t>NBV/ CV - 8,000</t>
  </si>
  <si>
    <t>Mkt Value - 7,000</t>
  </si>
  <si>
    <t>REVALUATION MODEL</t>
  </si>
  <si>
    <t>Yr 2</t>
  </si>
  <si>
    <t>Dr PPE - 2,000 (11,000 - 9,000) - Mkt value less NBV</t>
  </si>
  <si>
    <t>Cr Revaluation Reserve</t>
  </si>
  <si>
    <t>Dep 11,000-0/9yrs</t>
  </si>
  <si>
    <t>Dep 1,222</t>
  </si>
  <si>
    <t>Adjusted our PPE value on the SOFP and charge dep on the new market value</t>
  </si>
  <si>
    <t>a) i)</t>
  </si>
  <si>
    <t>Marks</t>
  </si>
  <si>
    <t>IAS16 - Definition of PPE</t>
  </si>
  <si>
    <t>1. Tangible items</t>
  </si>
  <si>
    <t>2. They must be used in production of goods/ services</t>
  </si>
  <si>
    <t>3. Used in more than one period</t>
  </si>
  <si>
    <t>4. Used for rentals</t>
  </si>
  <si>
    <t>5. Used for administrative purposes</t>
  </si>
  <si>
    <t>a) ii)</t>
  </si>
  <si>
    <t>List price of PPE</t>
  </si>
  <si>
    <t>£'000</t>
  </si>
  <si>
    <t>Discount 6%</t>
  </si>
  <si>
    <t>Delivery</t>
  </si>
  <si>
    <t>Installation</t>
  </si>
  <si>
    <t>Testing</t>
  </si>
  <si>
    <t>Legal fees</t>
  </si>
  <si>
    <t>Site preparation</t>
  </si>
  <si>
    <t>Staff training</t>
  </si>
  <si>
    <t>Exclude</t>
  </si>
  <si>
    <t>Include</t>
  </si>
  <si>
    <t>Maintenance contract</t>
  </si>
  <si>
    <t>Dr Asset (PPE)</t>
  </si>
  <si>
    <t>Cr Cash/ Bank</t>
  </si>
  <si>
    <t>Land</t>
  </si>
  <si>
    <t>Buildings</t>
  </si>
  <si>
    <t>Total</t>
  </si>
  <si>
    <t>Cost</t>
  </si>
  <si>
    <t>Dep to 1/7/2017</t>
  </si>
  <si>
    <t>800/50yrs x 3 yrs</t>
  </si>
  <si>
    <t>CV before revaluation</t>
  </si>
  <si>
    <t>Revaluation Gain</t>
  </si>
  <si>
    <t>Revaluation</t>
  </si>
  <si>
    <t>Dep</t>
  </si>
  <si>
    <t>940/47yr2</t>
  </si>
  <si>
    <t>Carrying Value/NBV (30/06/2018)</t>
  </si>
  <si>
    <t>Acc. Dep 1,222</t>
  </si>
  <si>
    <t>Dr Revaluation Surplus</t>
  </si>
  <si>
    <t>Dr P&amp;L</t>
  </si>
  <si>
    <t>Cr Asset</t>
  </si>
  <si>
    <t>To reduce the value from 9,778 (by 2,778) to 7,000 (revaluation)</t>
  </si>
  <si>
    <t>NBV/ CV    9,778</t>
  </si>
  <si>
    <t>Cost/ Revaluation  11,000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</si>
</sst>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0" fontId="3" fillId="0" borderId="0" xfId="0" applyFont="1"/>
    <xf numFmtId="0" fontId="2" fillId="0" borderId="0" xfId="0" applyFont="1" applyAlignment="1">
      <alignment horizontal="center"/>
    </xf>
    <xf numFmtId="164" fontId="0" fillId="0" borderId="0" xfId="1" applyNumberFormat="1" applyFont="1"/>
    <xf numFmtId="164" fontId="3" fillId="0" borderId="0" xfId="1" applyNumberFormat="1" applyFont="1"/>
    <xf numFmtId="0" fontId="2" fillId="0" borderId="0" xfId="0" applyFont="1"/>
    <xf numFmtId="164" fontId="2" fillId="0" borderId="0" xfId="1" applyNumberFormat="1" applyFont="1"/>
    <xf numFmtId="14" fontId="0" fillId="0" borderId="0" xfId="0" applyNumberFormat="1"/>
    <xf numFmtId="0" fontId="0" fillId="0" borderId="0" xfId="0" quotePrefix="1"/>
    <xf numFmtId="164" fontId="0" fillId="0" borderId="0" xfId="0" applyNumberFormat="1"/>
    <xf numFmtId="164" fontId="3" fillId="0" borderId="0" xfId="0" applyNumberFormat="1" applyFont="1"/>
    <xf numFmtId="0" fontId="2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6E22-DD02-4943-864A-B9C23482F8C8}">
  <dimension ref="A1:G36"/>
  <sheetViews>
    <sheetView tabSelected="1" topLeftCell="A21" zoomScale="140" zoomScaleNormal="140" workbookViewId="0">
      <selection activeCell="D31" sqref="D31"/>
    </sheetView>
  </sheetViews>
  <sheetFormatPr defaultRowHeight="14.5" x14ac:dyDescent="0.35"/>
  <cols>
    <col min="3" max="3" width="18.7265625" customWidth="1"/>
    <col min="4" max="4" width="20.26953125" customWidth="1"/>
  </cols>
  <sheetData>
    <row r="1" spans="1:6" x14ac:dyDescent="0.35">
      <c r="A1" s="2" t="s">
        <v>0</v>
      </c>
    </row>
    <row r="2" spans="1:6" x14ac:dyDescent="0.35">
      <c r="A2" t="s">
        <v>1</v>
      </c>
      <c r="C2" s="1">
        <v>10000</v>
      </c>
    </row>
    <row r="3" spans="1:6" x14ac:dyDescent="0.35">
      <c r="A3" t="s">
        <v>2</v>
      </c>
      <c r="C3">
        <v>0</v>
      </c>
    </row>
    <row r="4" spans="1:6" x14ac:dyDescent="0.35">
      <c r="A4" t="s">
        <v>3</v>
      </c>
      <c r="C4" t="s">
        <v>4</v>
      </c>
    </row>
    <row r="5" spans="1:6" x14ac:dyDescent="0.35">
      <c r="A5" t="s">
        <v>5</v>
      </c>
      <c r="C5" s="1">
        <v>11000</v>
      </c>
    </row>
    <row r="6" spans="1:6" x14ac:dyDescent="0.35">
      <c r="A6" t="s">
        <v>6</v>
      </c>
      <c r="C6" s="1">
        <v>7000</v>
      </c>
    </row>
    <row r="8" spans="1:6" x14ac:dyDescent="0.35">
      <c r="A8" s="2" t="s">
        <v>12</v>
      </c>
    </row>
    <row r="9" spans="1:6" x14ac:dyDescent="0.35">
      <c r="C9" s="2" t="s">
        <v>7</v>
      </c>
      <c r="D9" s="2" t="s">
        <v>8</v>
      </c>
      <c r="E9" s="2"/>
      <c r="F9" s="2" t="s">
        <v>11</v>
      </c>
    </row>
    <row r="10" spans="1:6" x14ac:dyDescent="0.35">
      <c r="C10" s="2" t="s">
        <v>9</v>
      </c>
      <c r="D10" s="2" t="s">
        <v>10</v>
      </c>
      <c r="F10" t="s">
        <v>18</v>
      </c>
    </row>
    <row r="11" spans="1:6" x14ac:dyDescent="0.35">
      <c r="A11" t="s">
        <v>13</v>
      </c>
      <c r="C11" t="s">
        <v>14</v>
      </c>
      <c r="D11" t="s">
        <v>15</v>
      </c>
      <c r="F11" t="s">
        <v>19</v>
      </c>
    </row>
    <row r="12" spans="1:6" x14ac:dyDescent="0.35">
      <c r="C12" t="s">
        <v>20</v>
      </c>
      <c r="D12" t="s">
        <v>16</v>
      </c>
    </row>
    <row r="13" spans="1:6" x14ac:dyDescent="0.35">
      <c r="D13" t="s">
        <v>17</v>
      </c>
    </row>
    <row r="15" spans="1:6" x14ac:dyDescent="0.35">
      <c r="A15" t="s">
        <v>25</v>
      </c>
      <c r="C15" t="s">
        <v>20</v>
      </c>
      <c r="D15" t="s">
        <v>15</v>
      </c>
      <c r="F15" t="s">
        <v>23</v>
      </c>
    </row>
    <row r="16" spans="1:6" x14ac:dyDescent="0.35">
      <c r="D16" t="s">
        <v>21</v>
      </c>
      <c r="F16" t="s">
        <v>19</v>
      </c>
    </row>
    <row r="17" spans="1:6" x14ac:dyDescent="0.35">
      <c r="D17" t="s">
        <v>22</v>
      </c>
    </row>
    <row r="19" spans="1:6" x14ac:dyDescent="0.35">
      <c r="A19" s="2" t="s">
        <v>24</v>
      </c>
    </row>
    <row r="20" spans="1:6" x14ac:dyDescent="0.35">
      <c r="C20" s="2" t="s">
        <v>7</v>
      </c>
      <c r="D20" s="2" t="s">
        <v>8</v>
      </c>
      <c r="E20" s="2"/>
      <c r="F20" s="2" t="s">
        <v>11</v>
      </c>
    </row>
    <row r="21" spans="1:6" x14ac:dyDescent="0.35">
      <c r="A21" t="s">
        <v>13</v>
      </c>
      <c r="C21" s="2" t="s">
        <v>9</v>
      </c>
      <c r="D21" s="2" t="s">
        <v>10</v>
      </c>
      <c r="F21" t="s">
        <v>18</v>
      </c>
    </row>
    <row r="22" spans="1:6" x14ac:dyDescent="0.35">
      <c r="C22" t="s">
        <v>14</v>
      </c>
      <c r="D22" t="s">
        <v>15</v>
      </c>
    </row>
    <row r="23" spans="1:6" x14ac:dyDescent="0.35">
      <c r="C23" t="s">
        <v>20</v>
      </c>
      <c r="D23" t="s">
        <v>16</v>
      </c>
    </row>
    <row r="24" spans="1:6" x14ac:dyDescent="0.35">
      <c r="D24" t="s">
        <v>17</v>
      </c>
    </row>
    <row r="26" spans="1:6" x14ac:dyDescent="0.35">
      <c r="D26" t="s">
        <v>26</v>
      </c>
    </row>
    <row r="27" spans="1:6" x14ac:dyDescent="0.35">
      <c r="D27" t="s">
        <v>27</v>
      </c>
      <c r="E27" s="1">
        <v>2000</v>
      </c>
    </row>
    <row r="29" spans="1:6" x14ac:dyDescent="0.35">
      <c r="A29" t="s">
        <v>25</v>
      </c>
      <c r="C29" t="s">
        <v>28</v>
      </c>
      <c r="D29" s="2" t="s">
        <v>10</v>
      </c>
      <c r="F29" t="s">
        <v>23</v>
      </c>
    </row>
    <row r="30" spans="1:6" x14ac:dyDescent="0.35">
      <c r="C30" t="s">
        <v>29</v>
      </c>
      <c r="D30" t="s">
        <v>72</v>
      </c>
      <c r="F30" t="s">
        <v>30</v>
      </c>
    </row>
    <row r="31" spans="1:6" x14ac:dyDescent="0.35">
      <c r="D31" t="s">
        <v>66</v>
      </c>
    </row>
    <row r="32" spans="1:6" x14ac:dyDescent="0.35">
      <c r="D32" t="s">
        <v>71</v>
      </c>
    </row>
    <row r="34" spans="4:7" x14ac:dyDescent="0.35">
      <c r="D34" t="s">
        <v>67</v>
      </c>
      <c r="E34" s="1">
        <v>2000</v>
      </c>
    </row>
    <row r="35" spans="4:7" x14ac:dyDescent="0.35">
      <c r="D35" t="s">
        <v>68</v>
      </c>
      <c r="E35">
        <v>778</v>
      </c>
    </row>
    <row r="36" spans="4:7" x14ac:dyDescent="0.35">
      <c r="D36" t="s">
        <v>69</v>
      </c>
      <c r="F36" s="1">
        <v>2778</v>
      </c>
      <c r="G36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0840-DFEC-4FE4-B039-9143D1556AE8}">
  <dimension ref="A1:I36"/>
  <sheetViews>
    <sheetView topLeftCell="B13" zoomScale="140" zoomScaleNormal="140" workbookViewId="0">
      <selection activeCell="C36" sqref="C36"/>
    </sheetView>
  </sheetViews>
  <sheetFormatPr defaultRowHeight="14.5" x14ac:dyDescent="0.35"/>
  <cols>
    <col min="2" max="2" width="11.81640625" customWidth="1"/>
    <col min="3" max="3" width="11.453125" bestFit="1" customWidth="1"/>
    <col min="5" max="5" width="15" customWidth="1"/>
    <col min="6" max="6" width="9.54296875" bestFit="1" customWidth="1"/>
    <col min="8" max="8" width="9.54296875" bestFit="1" customWidth="1"/>
    <col min="9" max="9" width="9.1796875" style="3"/>
  </cols>
  <sheetData>
    <row r="1" spans="1:9" x14ac:dyDescent="0.35">
      <c r="B1" s="2" t="s">
        <v>33</v>
      </c>
      <c r="I1" s="3" t="s">
        <v>32</v>
      </c>
    </row>
    <row r="2" spans="1:9" x14ac:dyDescent="0.35">
      <c r="A2" t="s">
        <v>31</v>
      </c>
      <c r="B2" t="s">
        <v>34</v>
      </c>
      <c r="I2" s="3">
        <v>1</v>
      </c>
    </row>
    <row r="3" spans="1:9" x14ac:dyDescent="0.35">
      <c r="B3" t="s">
        <v>35</v>
      </c>
      <c r="I3" s="3">
        <v>1</v>
      </c>
    </row>
    <row r="4" spans="1:9" x14ac:dyDescent="0.35">
      <c r="B4" t="s">
        <v>36</v>
      </c>
      <c r="I4" s="3">
        <v>1</v>
      </c>
    </row>
    <row r="5" spans="1:9" x14ac:dyDescent="0.35">
      <c r="B5" t="s">
        <v>37</v>
      </c>
      <c r="I5" s="3">
        <v>1</v>
      </c>
    </row>
    <row r="6" spans="1:9" x14ac:dyDescent="0.35">
      <c r="B6" t="s">
        <v>38</v>
      </c>
      <c r="I6" s="3">
        <v>1</v>
      </c>
    </row>
    <row r="7" spans="1:9" x14ac:dyDescent="0.35">
      <c r="I7" s="3">
        <f>SUM(I2:I6)</f>
        <v>5</v>
      </c>
    </row>
    <row r="9" spans="1:9" x14ac:dyDescent="0.35">
      <c r="A9" t="s">
        <v>39</v>
      </c>
    </row>
    <row r="10" spans="1:9" x14ac:dyDescent="0.35">
      <c r="F10" t="s">
        <v>41</v>
      </c>
      <c r="G10" t="s">
        <v>41</v>
      </c>
      <c r="H10" t="s">
        <v>41</v>
      </c>
    </row>
    <row r="11" spans="1:9" x14ac:dyDescent="0.35">
      <c r="G11" s="6" t="s">
        <v>49</v>
      </c>
      <c r="H11" t="s">
        <v>50</v>
      </c>
    </row>
    <row r="12" spans="1:9" x14ac:dyDescent="0.35">
      <c r="B12" t="s">
        <v>40</v>
      </c>
      <c r="F12" s="4">
        <v>2000</v>
      </c>
      <c r="G12" s="7"/>
      <c r="H12" s="4">
        <f>F12</f>
        <v>2000</v>
      </c>
      <c r="I12" s="3">
        <v>1</v>
      </c>
    </row>
    <row r="13" spans="1:9" x14ac:dyDescent="0.35">
      <c r="B13" t="s">
        <v>42</v>
      </c>
      <c r="F13" s="4">
        <f>-F12*0.06</f>
        <v>-120</v>
      </c>
      <c r="G13" s="7"/>
      <c r="H13" s="4">
        <f>F13</f>
        <v>-120</v>
      </c>
      <c r="I13" s="3">
        <v>1</v>
      </c>
    </row>
    <row r="14" spans="1:9" x14ac:dyDescent="0.35">
      <c r="B14" t="s">
        <v>43</v>
      </c>
      <c r="F14" s="4">
        <v>9</v>
      </c>
      <c r="G14" s="7"/>
      <c r="H14" s="4">
        <f>F14</f>
        <v>9</v>
      </c>
      <c r="I14" s="3">
        <v>1</v>
      </c>
    </row>
    <row r="15" spans="1:9" x14ac:dyDescent="0.35">
      <c r="B15" t="s">
        <v>44</v>
      </c>
      <c r="F15" s="4">
        <v>24</v>
      </c>
      <c r="G15" s="7"/>
      <c r="H15" s="4">
        <f>F15</f>
        <v>24</v>
      </c>
      <c r="I15" s="3">
        <v>1</v>
      </c>
    </row>
    <row r="16" spans="1:9" x14ac:dyDescent="0.35">
      <c r="B16" t="s">
        <v>45</v>
      </c>
      <c r="F16" s="4">
        <v>15</v>
      </c>
      <c r="G16" s="7"/>
      <c r="H16" s="4">
        <f>F16</f>
        <v>15</v>
      </c>
      <c r="I16" s="3">
        <v>1</v>
      </c>
    </row>
    <row r="17" spans="2:9" x14ac:dyDescent="0.35">
      <c r="B17" t="s">
        <v>51</v>
      </c>
      <c r="F17" s="4">
        <v>24</v>
      </c>
      <c r="G17" s="7">
        <f>F17</f>
        <v>24</v>
      </c>
      <c r="H17" s="4"/>
      <c r="I17" s="3">
        <v>1</v>
      </c>
    </row>
    <row r="18" spans="2:9" x14ac:dyDescent="0.35">
      <c r="B18" t="s">
        <v>46</v>
      </c>
      <c r="F18" s="4">
        <v>5</v>
      </c>
      <c r="G18" s="7"/>
      <c r="H18" s="4">
        <f>F18</f>
        <v>5</v>
      </c>
      <c r="I18" s="3">
        <v>1</v>
      </c>
    </row>
    <row r="19" spans="2:9" x14ac:dyDescent="0.35">
      <c r="B19" t="s">
        <v>47</v>
      </c>
      <c r="F19" s="4">
        <v>12</v>
      </c>
      <c r="G19" s="7"/>
      <c r="H19" s="4">
        <f>F19</f>
        <v>12</v>
      </c>
      <c r="I19" s="3">
        <v>1</v>
      </c>
    </row>
    <row r="20" spans="2:9" x14ac:dyDescent="0.35">
      <c r="B20" t="s">
        <v>48</v>
      </c>
      <c r="F20" s="4">
        <v>21</v>
      </c>
      <c r="G20" s="7">
        <f>F20</f>
        <v>21</v>
      </c>
      <c r="H20" s="4"/>
      <c r="I20" s="3">
        <v>1</v>
      </c>
    </row>
    <row r="21" spans="2:9" x14ac:dyDescent="0.35">
      <c r="F21" s="5">
        <f>+SUM(F12:F20)</f>
        <v>1990</v>
      </c>
      <c r="G21" s="5">
        <f>+SUM(G12:G20)</f>
        <v>45</v>
      </c>
      <c r="H21" s="5">
        <f>+SUM(H12:H20)</f>
        <v>1945</v>
      </c>
      <c r="I21" s="3">
        <v>1</v>
      </c>
    </row>
    <row r="22" spans="2:9" x14ac:dyDescent="0.35">
      <c r="F22" s="4"/>
      <c r="G22" s="4"/>
      <c r="H22" s="4"/>
      <c r="I22" s="12">
        <f>SUM(I12:I21)</f>
        <v>10</v>
      </c>
    </row>
    <row r="23" spans="2:9" x14ac:dyDescent="0.35">
      <c r="F23" s="4"/>
      <c r="G23" s="4"/>
      <c r="H23" s="4"/>
    </row>
    <row r="24" spans="2:9" x14ac:dyDescent="0.35">
      <c r="F24" s="4" t="s">
        <v>52</v>
      </c>
      <c r="G24" s="4"/>
      <c r="H24" s="4">
        <v>1945</v>
      </c>
    </row>
    <row r="25" spans="2:9" x14ac:dyDescent="0.35">
      <c r="F25" s="4" t="s">
        <v>53</v>
      </c>
      <c r="G25" s="4"/>
      <c r="H25" s="4">
        <v>1945</v>
      </c>
    </row>
    <row r="26" spans="2:9" x14ac:dyDescent="0.35">
      <c r="F26" s="4"/>
      <c r="G26" s="4"/>
      <c r="H26" s="4"/>
    </row>
    <row r="27" spans="2:9" x14ac:dyDescent="0.35">
      <c r="F27" s="5" t="s">
        <v>54</v>
      </c>
      <c r="G27" s="5" t="s">
        <v>55</v>
      </c>
      <c r="H27" s="5" t="s">
        <v>56</v>
      </c>
    </row>
    <row r="28" spans="2:9" x14ac:dyDescent="0.35">
      <c r="F28" s="2" t="s">
        <v>41</v>
      </c>
      <c r="G28" s="2" t="s">
        <v>41</v>
      </c>
      <c r="H28" s="2" t="s">
        <v>41</v>
      </c>
    </row>
    <row r="29" spans="2:9" x14ac:dyDescent="0.35">
      <c r="B29" s="8">
        <v>41821</v>
      </c>
      <c r="C29" t="s">
        <v>57</v>
      </c>
      <c r="F29">
        <v>400</v>
      </c>
      <c r="G29">
        <v>800</v>
      </c>
      <c r="H29" s="4">
        <f>F29+G29</f>
        <v>1200</v>
      </c>
    </row>
    <row r="30" spans="2:9" x14ac:dyDescent="0.35">
      <c r="C30" t="s">
        <v>58</v>
      </c>
      <c r="E30" s="9" t="s">
        <v>59</v>
      </c>
      <c r="G30" s="6">
        <f>-800/50*3</f>
        <v>-48</v>
      </c>
      <c r="H30" s="7">
        <f>G30</f>
        <v>-48</v>
      </c>
      <c r="I30" s="3">
        <v>1</v>
      </c>
    </row>
    <row r="31" spans="2:9" x14ac:dyDescent="0.35">
      <c r="C31" t="s">
        <v>60</v>
      </c>
      <c r="F31" s="2">
        <f>F29+F30</f>
        <v>400</v>
      </c>
      <c r="G31" s="2">
        <f>G29+G30</f>
        <v>752</v>
      </c>
      <c r="H31" s="5">
        <f>H29+H30</f>
        <v>1152</v>
      </c>
      <c r="I31" s="3">
        <v>1</v>
      </c>
    </row>
    <row r="32" spans="2:9" x14ac:dyDescent="0.35">
      <c r="C32" t="s">
        <v>61</v>
      </c>
      <c r="F32">
        <v>60</v>
      </c>
      <c r="G32" s="10">
        <f>G33-G31</f>
        <v>188</v>
      </c>
      <c r="H32" s="4">
        <f>G32+F32</f>
        <v>248</v>
      </c>
      <c r="I32" s="3">
        <v>1</v>
      </c>
    </row>
    <row r="33" spans="3:9" x14ac:dyDescent="0.35">
      <c r="C33" t="s">
        <v>62</v>
      </c>
      <c r="F33" s="2">
        <v>460</v>
      </c>
      <c r="G33" s="11">
        <f>H33-F33</f>
        <v>940</v>
      </c>
      <c r="H33" s="5">
        <v>1400</v>
      </c>
      <c r="I33" s="3">
        <v>1</v>
      </c>
    </row>
    <row r="34" spans="3:9" x14ac:dyDescent="0.35">
      <c r="C34" s="8">
        <v>43281</v>
      </c>
      <c r="D34" t="s">
        <v>63</v>
      </c>
      <c r="E34" s="9" t="s">
        <v>64</v>
      </c>
      <c r="G34" s="6">
        <f>-940/47</f>
        <v>-20</v>
      </c>
      <c r="H34" s="6">
        <f>-940/47</f>
        <v>-20</v>
      </c>
      <c r="I34" s="3">
        <v>1</v>
      </c>
    </row>
    <row r="35" spans="3:9" x14ac:dyDescent="0.35">
      <c r="C35" t="s">
        <v>65</v>
      </c>
      <c r="F35" s="2">
        <f>F33+F34</f>
        <v>460</v>
      </c>
      <c r="G35" s="2">
        <f>G33+G34</f>
        <v>920</v>
      </c>
      <c r="H35" s="5">
        <f>H33+H34</f>
        <v>1380</v>
      </c>
      <c r="I35" s="3">
        <v>1</v>
      </c>
    </row>
    <row r="36" spans="3:9" x14ac:dyDescent="0.35">
      <c r="I36" s="12">
        <f>SUM(I29:I35)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Freestyle</vt:lpstr>
      <vt:lpstr>Exam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Gande</dc:creator>
  <cp:lastModifiedBy>Tapiwa Gande</cp:lastModifiedBy>
  <dcterms:created xsi:type="dcterms:W3CDTF">2026-02-16T16:51:37Z</dcterms:created>
  <dcterms:modified xsi:type="dcterms:W3CDTF">2026-02-20T12:58:54Z</dcterms:modified>
</cp:coreProperties>
</file>