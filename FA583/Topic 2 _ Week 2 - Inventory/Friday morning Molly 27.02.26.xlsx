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AAA6FEE2-BD79-4331-A900-AC02E2589CB4}" xr6:coauthVersionLast="47" xr6:coauthVersionMax="47" xr10:uidLastSave="{00000000-0000-0000-0000-000000000000}"/>
  <bookViews>
    <workbookView xWindow="-40" yWindow="90" windowWidth="9320" windowHeight="10070" xr2:uid="{22846870-E202-4568-AB80-EF7337024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1" l="1"/>
  <c r="S30" i="1"/>
  <c r="S24" i="1"/>
  <c r="S19" i="1"/>
  <c r="S18" i="1"/>
  <c r="S10" i="1"/>
  <c r="S12" i="1" s="1"/>
  <c r="S7" i="1"/>
  <c r="S4" i="1"/>
  <c r="G10" i="1"/>
  <c r="G12" i="1" s="1"/>
  <c r="L16" i="1"/>
  <c r="L12" i="1"/>
  <c r="L11" i="1"/>
  <c r="L10" i="1"/>
  <c r="L8" i="1"/>
  <c r="L5" i="1"/>
  <c r="L4" i="1"/>
  <c r="G47" i="1"/>
  <c r="G46" i="1"/>
  <c r="G45" i="1"/>
  <c r="G40" i="1"/>
  <c r="G33" i="1"/>
  <c r="G32" i="1"/>
  <c r="G29" i="1"/>
  <c r="F32" i="1"/>
  <c r="G24" i="1"/>
  <c r="G4" i="1"/>
  <c r="G5" i="1" s="1"/>
</calcChain>
</file>

<file path=xl/sharedStrings.xml><?xml version="1.0" encoding="utf-8"?>
<sst xmlns="http://schemas.openxmlformats.org/spreadsheetml/2006/main" count="83" uniqueCount="77">
  <si>
    <t>W1 - Non-current assets</t>
  </si>
  <si>
    <t>$</t>
  </si>
  <si>
    <t>Non-current assets at carrying value per TB</t>
  </si>
  <si>
    <t>Revaluation of land ($11,000 - $5,000)</t>
  </si>
  <si>
    <t>Closing value/ Carrying value</t>
  </si>
  <si>
    <t>W2 Retained Earnings</t>
  </si>
  <si>
    <t>Opening balance as per TB</t>
  </si>
  <si>
    <r>
      <rPr>
        <b/>
        <sz val="11"/>
        <color theme="1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Profit for the year</t>
    </r>
  </si>
  <si>
    <t>Closing balance</t>
  </si>
  <si>
    <t>Share capital of $8,000 comprises share of $0.50 each = $8000/0.5 = 16,0000 shares</t>
  </si>
  <si>
    <t>Dividend is No. of share x dividend per share = 16,000 x 10c = $1,600</t>
  </si>
  <si>
    <t>This equals the interim paid as per the TB - so no accual must be made and the $1,600</t>
  </si>
  <si>
    <t>should be subtracted from retained earnings as above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</si>
  <si>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Dividend</t>
    </r>
  </si>
  <si>
    <t>W3 - Tax</t>
  </si>
  <si>
    <t>Current year tax</t>
  </si>
  <si>
    <t>Overprovision of tax from prior year</t>
  </si>
  <si>
    <t>Deferred tax adjustment ($8,600 - $8,000 per TB)</t>
  </si>
  <si>
    <t>Tax expense</t>
  </si>
  <si>
    <t>W4 - Inventory</t>
  </si>
  <si>
    <t>Affected inventory</t>
  </si>
  <si>
    <t>NRV</t>
  </si>
  <si>
    <t>Cost</t>
  </si>
  <si>
    <t>Total cost of inventory</t>
  </si>
  <si>
    <t>SP</t>
  </si>
  <si>
    <t>Costs to sell</t>
  </si>
  <si>
    <t>Adjusted total  value of inventory</t>
  </si>
  <si>
    <t>W5 - Interest</t>
  </si>
  <si>
    <t>Interest expense ($8,000 x 10%)</t>
  </si>
  <si>
    <t>Interest PAID per TB</t>
  </si>
  <si>
    <t>Interest accrued (Current liabilities)</t>
  </si>
  <si>
    <t>W6 - Cost of Sales</t>
  </si>
  <si>
    <t>Opening inventory</t>
  </si>
  <si>
    <t>Cost of goods availabele for sale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</si>
  <si>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 Closing stock (adjusted (</t>
    </r>
    <r>
      <rPr>
        <b/>
        <sz val="11"/>
        <color theme="1"/>
        <rFont val="Aptos Narrow"/>
        <family val="2"/>
        <scheme val="minor"/>
      </rPr>
      <t>W4</t>
    </r>
    <r>
      <rPr>
        <sz val="11"/>
        <color theme="1"/>
        <rFont val="Aptos Narrow"/>
        <family val="2"/>
        <scheme val="minor"/>
      </rPr>
      <t>)</t>
    </r>
  </si>
  <si>
    <t>COST OF SALES</t>
  </si>
  <si>
    <r>
      <rPr>
        <b/>
        <sz val="11"/>
        <color theme="1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Purchases</t>
    </r>
  </si>
  <si>
    <t>Statement of Profit or Loss and OCI</t>
  </si>
  <si>
    <t>Sale/ Revenue</t>
  </si>
  <si>
    <t>Cost of Sales</t>
  </si>
  <si>
    <t>W6</t>
  </si>
  <si>
    <t>Gross profit</t>
  </si>
  <si>
    <t>Distribution costs</t>
  </si>
  <si>
    <t>Administration expenses</t>
  </si>
  <si>
    <t>Interest expense/ Finance costs</t>
  </si>
  <si>
    <t>W5</t>
  </si>
  <si>
    <t>Profit Before Tax (PBT)</t>
  </si>
  <si>
    <t>Profit Before Interest &amp; Tax (PBIT)</t>
  </si>
  <si>
    <t>Tax</t>
  </si>
  <si>
    <t>W3</t>
  </si>
  <si>
    <t>Profit After Tax (PAT)</t>
  </si>
  <si>
    <t>Other comprehensive income</t>
  </si>
  <si>
    <r>
      <t>Revaluation Suprlus (</t>
    </r>
    <r>
      <rPr>
        <b/>
        <sz val="11"/>
        <color theme="1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</si>
  <si>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Total comprehensive income</t>
  </si>
  <si>
    <t>Statement of Financia Position</t>
  </si>
  <si>
    <t>Non-current assets</t>
  </si>
  <si>
    <t>W1</t>
  </si>
  <si>
    <t>Current assets</t>
  </si>
  <si>
    <t>Inventory</t>
  </si>
  <si>
    <t>W4</t>
  </si>
  <si>
    <t xml:space="preserve">Trade receivables </t>
  </si>
  <si>
    <t>Cash and cash equivalents</t>
  </si>
  <si>
    <t>TOTAL ASSETS</t>
  </si>
  <si>
    <t>Equity</t>
  </si>
  <si>
    <t>Ordinary shares of $0.50</t>
  </si>
  <si>
    <t>Share premium</t>
  </si>
  <si>
    <t>Revaluation Reserve</t>
  </si>
  <si>
    <t>Retained Earnings</t>
  </si>
  <si>
    <t>W2</t>
  </si>
  <si>
    <t>Non-current liablities</t>
  </si>
  <si>
    <t>10% Loan Notes</t>
  </si>
  <si>
    <t>Deferred Tax</t>
  </si>
  <si>
    <t>Current liablities</t>
  </si>
  <si>
    <t>Trade payables</t>
  </si>
  <si>
    <t>Interest accrued</t>
  </si>
  <si>
    <t>Income tax</t>
  </si>
  <si>
    <t>TOTAL EQUITY AND LIABLITIES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</si>
</sst>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3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1" xfId="1" applyNumberFormat="1" applyFont="1" applyBorder="1"/>
    <xf numFmtId="0" fontId="0" fillId="0" borderId="0" xfId="0" applyFont="1"/>
    <xf numFmtId="3" fontId="4" fillId="0" borderId="0" xfId="0" applyNumberFormat="1" applyFont="1"/>
    <xf numFmtId="165" fontId="3" fillId="0" borderId="0" xfId="1" applyNumberFormat="1" applyFont="1" applyBorder="1"/>
    <xf numFmtId="165" fontId="1" fillId="0" borderId="1" xfId="1" applyNumberFormat="1" applyFont="1" applyBorder="1"/>
    <xf numFmtId="0" fontId="0" fillId="0" borderId="1" xfId="0" applyBorder="1"/>
    <xf numFmtId="3" fontId="0" fillId="0" borderId="1" xfId="0" applyNumberFormat="1" applyBorder="1"/>
    <xf numFmtId="3" fontId="3" fillId="0" borderId="0" xfId="0" applyNumberFormat="1" applyFont="1"/>
    <xf numFmtId="0" fontId="4" fillId="0" borderId="0" xfId="0" applyFont="1"/>
    <xf numFmtId="3" fontId="4" fillId="0" borderId="1" xfId="0" applyNumberFormat="1" applyFont="1" applyBorder="1"/>
    <xf numFmtId="165" fontId="3" fillId="0" borderId="0" xfId="1" applyNumberFormat="1" applyFont="1"/>
    <xf numFmtId="165" fontId="0" fillId="0" borderId="0" xfId="0" applyNumberFormat="1"/>
    <xf numFmtId="0" fontId="3" fillId="2" borderId="0" xfId="0" applyFont="1" applyFill="1"/>
    <xf numFmtId="0" fontId="0" fillId="2" borderId="0" xfId="0" applyFill="1"/>
    <xf numFmtId="165" fontId="3" fillId="2" borderId="0" xfId="0" applyNumberFormat="1" applyFont="1" applyFill="1"/>
    <xf numFmtId="165" fontId="3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DD71-2AD5-4ABE-ABBA-0DDE90EDE992}">
  <dimension ref="A1:S47"/>
  <sheetViews>
    <sheetView tabSelected="1" workbookViewId="0">
      <selection activeCell="E10" sqref="E10"/>
    </sheetView>
  </sheetViews>
  <sheetFormatPr defaultRowHeight="14.5" x14ac:dyDescent="0.35"/>
  <cols>
    <col min="7" max="7" width="10.1796875" style="4" bestFit="1" customWidth="1"/>
    <col min="10" max="10" width="11.81640625" customWidth="1"/>
    <col min="11" max="11" width="12.7265625" customWidth="1"/>
    <col min="12" max="12" width="10.1796875" style="3" bestFit="1" customWidth="1"/>
    <col min="19" max="19" width="10.1796875" bestFit="1" customWidth="1"/>
  </cols>
  <sheetData>
    <row r="1" spans="1:19" x14ac:dyDescent="0.35">
      <c r="A1" s="1" t="s">
        <v>0</v>
      </c>
      <c r="G1" s="4" t="s">
        <v>1</v>
      </c>
      <c r="I1" s="1" t="s">
        <v>37</v>
      </c>
      <c r="N1" s="1" t="s">
        <v>54</v>
      </c>
    </row>
    <row r="3" spans="1:19" x14ac:dyDescent="0.35">
      <c r="A3" t="s">
        <v>2</v>
      </c>
      <c r="G3" s="4">
        <v>35000</v>
      </c>
      <c r="I3" t="s">
        <v>38</v>
      </c>
      <c r="L3" s="3">
        <v>50000</v>
      </c>
      <c r="N3" s="1" t="s">
        <v>55</v>
      </c>
    </row>
    <row r="4" spans="1:19" x14ac:dyDescent="0.35">
      <c r="A4" t="s">
        <v>3</v>
      </c>
      <c r="G4" s="5">
        <f>11000-5000</f>
        <v>6000</v>
      </c>
      <c r="I4" t="s">
        <v>39</v>
      </c>
      <c r="K4" s="1" t="s">
        <v>40</v>
      </c>
      <c r="L4" s="5">
        <f>-G47</f>
        <v>-16000</v>
      </c>
      <c r="N4" s="6" t="s">
        <v>55</v>
      </c>
      <c r="Q4" t="s">
        <v>56</v>
      </c>
      <c r="S4" s="16">
        <f>G5</f>
        <v>41000</v>
      </c>
    </row>
    <row r="5" spans="1:19" x14ac:dyDescent="0.35">
      <c r="A5" s="1" t="s">
        <v>4</v>
      </c>
      <c r="G5" s="4">
        <f>G3+G4</f>
        <v>41000</v>
      </c>
      <c r="I5" s="1" t="s">
        <v>41</v>
      </c>
      <c r="L5" s="15">
        <f>L3+L4</f>
        <v>34000</v>
      </c>
    </row>
    <row r="6" spans="1:19" x14ac:dyDescent="0.35">
      <c r="I6" s="13" t="s">
        <v>42</v>
      </c>
      <c r="L6" s="7">
        <v>10400</v>
      </c>
      <c r="N6" s="1" t="s">
        <v>57</v>
      </c>
    </row>
    <row r="7" spans="1:19" x14ac:dyDescent="0.35">
      <c r="A7" s="1" t="s">
        <v>5</v>
      </c>
      <c r="I7" s="13" t="s">
        <v>43</v>
      </c>
      <c r="L7" s="14">
        <v>15550</v>
      </c>
      <c r="N7" t="s">
        <v>58</v>
      </c>
      <c r="Q7" t="s">
        <v>59</v>
      </c>
      <c r="S7" s="16">
        <f>G33</f>
        <v>12000</v>
      </c>
    </row>
    <row r="8" spans="1:19" x14ac:dyDescent="0.35">
      <c r="I8" s="1" t="s">
        <v>47</v>
      </c>
      <c r="L8" s="15">
        <f>L5-L6-L7</f>
        <v>8050</v>
      </c>
      <c r="N8" t="s">
        <v>60</v>
      </c>
      <c r="S8" s="16">
        <v>10450</v>
      </c>
    </row>
    <row r="9" spans="1:19" x14ac:dyDescent="0.35">
      <c r="A9" s="6" t="s">
        <v>6</v>
      </c>
      <c r="G9" s="7">
        <v>3000</v>
      </c>
      <c r="I9" t="s">
        <v>44</v>
      </c>
      <c r="K9" s="1" t="s">
        <v>45</v>
      </c>
      <c r="L9" s="5">
        <v>800</v>
      </c>
      <c r="N9" t="s">
        <v>61</v>
      </c>
      <c r="S9" s="16">
        <v>8100</v>
      </c>
    </row>
    <row r="10" spans="1:19" x14ac:dyDescent="0.35">
      <c r="A10" s="6" t="s">
        <v>7</v>
      </c>
      <c r="G10" s="4">
        <f>L12</f>
        <v>4150</v>
      </c>
      <c r="I10" s="1" t="s">
        <v>46</v>
      </c>
      <c r="L10" s="15">
        <f>L8-L9</f>
        <v>7250</v>
      </c>
      <c r="S10" s="16">
        <f>SUM(S7:S9)</f>
        <v>30550</v>
      </c>
    </row>
    <row r="11" spans="1:19" x14ac:dyDescent="0.35">
      <c r="A11" s="6" t="s">
        <v>13</v>
      </c>
      <c r="G11" s="5">
        <v>1600</v>
      </c>
      <c r="I11" t="s">
        <v>48</v>
      </c>
      <c r="K11" s="1" t="s">
        <v>49</v>
      </c>
      <c r="L11" s="5">
        <f>G24</f>
        <v>3100</v>
      </c>
    </row>
    <row r="12" spans="1:19" x14ac:dyDescent="0.35">
      <c r="A12" s="6" t="s">
        <v>8</v>
      </c>
      <c r="G12" s="8">
        <f>G9+G10-G11</f>
        <v>5550</v>
      </c>
      <c r="I12" s="1" t="s">
        <v>50</v>
      </c>
      <c r="L12" s="15">
        <f>L10-L11</f>
        <v>4150</v>
      </c>
      <c r="N12" s="17" t="s">
        <v>62</v>
      </c>
      <c r="O12" s="18"/>
      <c r="P12" s="18"/>
      <c r="Q12" s="18"/>
      <c r="R12" s="18"/>
      <c r="S12" s="19">
        <f>S10+S4</f>
        <v>71550</v>
      </c>
    </row>
    <row r="14" spans="1:19" x14ac:dyDescent="0.35">
      <c r="A14" t="s">
        <v>9</v>
      </c>
      <c r="I14" s="1" t="s">
        <v>51</v>
      </c>
      <c r="N14" t="s">
        <v>63</v>
      </c>
    </row>
    <row r="15" spans="1:19" x14ac:dyDescent="0.35">
      <c r="A15" t="s">
        <v>10</v>
      </c>
      <c r="I15" t="s">
        <v>52</v>
      </c>
      <c r="L15" s="5">
        <v>6000</v>
      </c>
      <c r="N15" t="s">
        <v>64</v>
      </c>
      <c r="S15" s="3">
        <v>8000</v>
      </c>
    </row>
    <row r="16" spans="1:19" x14ac:dyDescent="0.35">
      <c r="A16" t="s">
        <v>11</v>
      </c>
      <c r="I16" s="1" t="s">
        <v>53</v>
      </c>
      <c r="L16" s="15">
        <f>L12+L15</f>
        <v>10150</v>
      </c>
      <c r="N16" t="s">
        <v>65</v>
      </c>
      <c r="S16" s="3">
        <v>3000</v>
      </c>
    </row>
    <row r="17" spans="1:19" x14ac:dyDescent="0.35">
      <c r="A17" t="s">
        <v>12</v>
      </c>
      <c r="N17" t="s">
        <v>66</v>
      </c>
      <c r="Q17" t="s">
        <v>56</v>
      </c>
      <c r="S17" s="3">
        <v>6000</v>
      </c>
    </row>
    <row r="18" spans="1:19" x14ac:dyDescent="0.35">
      <c r="N18" t="s">
        <v>67</v>
      </c>
      <c r="Q18" t="s">
        <v>68</v>
      </c>
      <c r="S18" s="5">
        <f>G12</f>
        <v>5550</v>
      </c>
    </row>
    <row r="19" spans="1:19" x14ac:dyDescent="0.35">
      <c r="A19" s="1" t="s">
        <v>14</v>
      </c>
      <c r="S19" s="16">
        <f>S15+S16+S17+S18</f>
        <v>22550</v>
      </c>
    </row>
    <row r="21" spans="1:19" x14ac:dyDescent="0.35">
      <c r="A21" t="s">
        <v>15</v>
      </c>
      <c r="G21" s="4">
        <v>3000</v>
      </c>
      <c r="N21" s="1" t="s">
        <v>69</v>
      </c>
    </row>
    <row r="22" spans="1:19" x14ac:dyDescent="0.35">
      <c r="A22" t="s">
        <v>16</v>
      </c>
      <c r="G22" s="4">
        <v>-500</v>
      </c>
      <c r="N22" t="s">
        <v>70</v>
      </c>
      <c r="S22" s="3">
        <v>8000</v>
      </c>
    </row>
    <row r="23" spans="1:19" x14ac:dyDescent="0.35">
      <c r="A23" t="s">
        <v>17</v>
      </c>
      <c r="G23" s="9">
        <v>600</v>
      </c>
      <c r="N23" t="s">
        <v>71</v>
      </c>
      <c r="Q23" t="s">
        <v>49</v>
      </c>
      <c r="S23" s="5">
        <v>8600</v>
      </c>
    </row>
    <row r="24" spans="1:19" x14ac:dyDescent="0.35">
      <c r="A24" s="1" t="s">
        <v>18</v>
      </c>
      <c r="G24" s="8">
        <f>SUM(G21:G23)</f>
        <v>3100</v>
      </c>
      <c r="S24" s="3">
        <f>S22+S23</f>
        <v>16600</v>
      </c>
    </row>
    <row r="26" spans="1:19" x14ac:dyDescent="0.35">
      <c r="A26" s="1" t="s">
        <v>19</v>
      </c>
      <c r="N26" s="1" t="s">
        <v>72</v>
      </c>
    </row>
    <row r="27" spans="1:19" x14ac:dyDescent="0.35">
      <c r="N27" t="s">
        <v>73</v>
      </c>
      <c r="S27" s="3">
        <v>29000</v>
      </c>
    </row>
    <row r="28" spans="1:19" x14ac:dyDescent="0.35">
      <c r="A28" s="1" t="s">
        <v>23</v>
      </c>
      <c r="G28" s="4">
        <v>16000</v>
      </c>
      <c r="N28" t="s">
        <v>74</v>
      </c>
      <c r="Q28" t="s">
        <v>45</v>
      </c>
      <c r="S28" s="3">
        <v>400</v>
      </c>
    </row>
    <row r="29" spans="1:19" x14ac:dyDescent="0.35">
      <c r="A29" s="1" t="s">
        <v>20</v>
      </c>
      <c r="C29" t="s">
        <v>22</v>
      </c>
      <c r="F29" s="2">
        <v>8000</v>
      </c>
      <c r="G29" s="4">
        <f>-F29</f>
        <v>-8000</v>
      </c>
      <c r="N29" t="s">
        <v>75</v>
      </c>
      <c r="Q29" t="s">
        <v>49</v>
      </c>
      <c r="S29" s="5">
        <v>3000</v>
      </c>
    </row>
    <row r="30" spans="1:19" x14ac:dyDescent="0.35">
      <c r="C30" t="s">
        <v>21</v>
      </c>
      <c r="D30" t="s">
        <v>24</v>
      </c>
      <c r="E30" s="2">
        <v>4500</v>
      </c>
      <c r="S30" s="3">
        <f>S27+S28+S29</f>
        <v>32400</v>
      </c>
    </row>
    <row r="31" spans="1:19" x14ac:dyDescent="0.35">
      <c r="D31" t="s">
        <v>25</v>
      </c>
      <c r="E31" s="10">
        <v>500</v>
      </c>
      <c r="S31" s="3"/>
    </row>
    <row r="32" spans="1:19" x14ac:dyDescent="0.35">
      <c r="D32" t="s">
        <v>21</v>
      </c>
      <c r="F32" s="2">
        <f>E30-E31</f>
        <v>4000</v>
      </c>
      <c r="G32" s="5">
        <f>F32</f>
        <v>4000</v>
      </c>
      <c r="N32" s="17" t="s">
        <v>76</v>
      </c>
      <c r="O32" s="18"/>
      <c r="P32" s="18"/>
      <c r="Q32" s="18"/>
      <c r="R32" s="18"/>
      <c r="S32" s="20">
        <f>S19+S24+S30</f>
        <v>71550</v>
      </c>
    </row>
    <row r="33" spans="1:19" x14ac:dyDescent="0.35">
      <c r="A33" s="1" t="s">
        <v>26</v>
      </c>
      <c r="G33" s="8">
        <f>SUM(G28:G32)</f>
        <v>12000</v>
      </c>
      <c r="S33" s="3"/>
    </row>
    <row r="35" spans="1:19" x14ac:dyDescent="0.35">
      <c r="A35" s="1" t="s">
        <v>27</v>
      </c>
    </row>
    <row r="37" spans="1:19" x14ac:dyDescent="0.35">
      <c r="B37" t="s">
        <v>28</v>
      </c>
      <c r="G37" s="2">
        <v>800</v>
      </c>
    </row>
    <row r="38" spans="1:19" x14ac:dyDescent="0.35">
      <c r="B38" t="s">
        <v>29</v>
      </c>
      <c r="F38">
        <v>400</v>
      </c>
      <c r="G38"/>
    </row>
    <row r="39" spans="1:19" x14ac:dyDescent="0.35">
      <c r="B39" t="s">
        <v>30</v>
      </c>
      <c r="F39">
        <v>400</v>
      </c>
      <c r="G39"/>
    </row>
    <row r="40" spans="1:19" x14ac:dyDescent="0.35">
      <c r="G40">
        <f>F38+F39</f>
        <v>800</v>
      </c>
    </row>
    <row r="41" spans="1:19" x14ac:dyDescent="0.35">
      <c r="A41" s="1" t="s">
        <v>31</v>
      </c>
    </row>
    <row r="43" spans="1:19" x14ac:dyDescent="0.35">
      <c r="B43" t="s">
        <v>32</v>
      </c>
      <c r="G43" s="2">
        <v>8000</v>
      </c>
    </row>
    <row r="44" spans="1:19" x14ac:dyDescent="0.35">
      <c r="B44" t="s">
        <v>36</v>
      </c>
      <c r="G44" s="11">
        <v>20000</v>
      </c>
    </row>
    <row r="45" spans="1:19" x14ac:dyDescent="0.35">
      <c r="B45" t="s">
        <v>33</v>
      </c>
      <c r="G45" s="2">
        <f>G43+G44</f>
        <v>28000</v>
      </c>
    </row>
    <row r="46" spans="1:19" x14ac:dyDescent="0.35">
      <c r="B46" t="s">
        <v>34</v>
      </c>
      <c r="G46" s="11">
        <f>-G33</f>
        <v>-12000</v>
      </c>
    </row>
    <row r="47" spans="1:19" x14ac:dyDescent="0.35">
      <c r="B47" s="1" t="s">
        <v>35</v>
      </c>
      <c r="C47" s="1"/>
      <c r="D47" s="1"/>
      <c r="E47" s="1"/>
      <c r="F47" s="1"/>
      <c r="G47" s="12">
        <f>G45+G46</f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2026-02-27T10:52:10Z</dcterms:created>
  <dcterms:modified xsi:type="dcterms:W3CDTF">2026-02-27T12:56:47Z</dcterms:modified>
</cp:coreProperties>
</file>