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629\Downloads\"/>
    </mc:Choice>
  </mc:AlternateContent>
  <xr:revisionPtr revIDLastSave="0" documentId="13_ncr:1_{A905FF5B-73F6-4AC6-A52D-FBF4357E0A6A}" xr6:coauthVersionLast="47" xr6:coauthVersionMax="47" xr10:uidLastSave="{00000000-0000-0000-0000-000000000000}"/>
  <bookViews>
    <workbookView xWindow="-120" yWindow="-120" windowWidth="29040" windowHeight="15720" xr2:uid="{ED319B12-62E1-4415-ACE1-14F121689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  <c r="R32" i="1"/>
  <c r="R30" i="1"/>
  <c r="R29" i="1"/>
  <c r="R23" i="1"/>
  <c r="R17" i="1"/>
  <c r="R12" i="1"/>
  <c r="R10" i="1"/>
  <c r="L13" i="1"/>
  <c r="L11" i="1"/>
  <c r="L9" i="1"/>
  <c r="L5" i="1"/>
  <c r="F51" i="1"/>
  <c r="F50" i="1"/>
  <c r="F44" i="1"/>
  <c r="F24" i="1"/>
  <c r="F15" i="1"/>
</calcChain>
</file>

<file path=xl/sharedStrings.xml><?xml version="1.0" encoding="utf-8"?>
<sst xmlns="http://schemas.openxmlformats.org/spreadsheetml/2006/main" count="72" uniqueCount="72">
  <si>
    <t>Workings</t>
  </si>
  <si>
    <t>W1 - Non-current assets</t>
  </si>
  <si>
    <t>Revaluation (11,000-5,000)</t>
  </si>
  <si>
    <t>Non-current at carrying value as per the TB</t>
  </si>
  <si>
    <t>Dr Asset (NCA)</t>
  </si>
  <si>
    <t>Cr Rev. Reserve</t>
  </si>
  <si>
    <t>W2 - Dividend</t>
  </si>
  <si>
    <t>Share capital of $8,000 being $0.50 each</t>
  </si>
  <si>
    <t>shares</t>
  </si>
  <si>
    <t>Dividene proposed at 10c per shareThen total dividence is</t>
  </si>
  <si>
    <t>16,000 x 10c</t>
  </si>
  <si>
    <t>Dr Retained Earnings</t>
  </si>
  <si>
    <t>Cr Accrual (curent assets(</t>
  </si>
  <si>
    <t>W3 - Tax</t>
  </si>
  <si>
    <t>Current year tax</t>
  </si>
  <si>
    <t>Overprovision</t>
  </si>
  <si>
    <t>Deferred tax increase (8,600-8,000)</t>
  </si>
  <si>
    <t>Dr Tax expense</t>
  </si>
  <si>
    <t>Cr Deferred Tax (NCL)</t>
  </si>
  <si>
    <t>W4 - Loan interest</t>
  </si>
  <si>
    <t>Interest expense ($8,000 x 10%)</t>
  </si>
  <si>
    <t>Interest paid as per the Trial Balance</t>
  </si>
  <si>
    <t>Shortfall (an accrual)</t>
  </si>
  <si>
    <t>Dr Interest expense (P&amp;L)</t>
  </si>
  <si>
    <t xml:space="preserve">Cr Interest accrual (SOPF) </t>
  </si>
  <si>
    <t>W5 -  Inventory</t>
  </si>
  <si>
    <t>Affected inventory at cost</t>
  </si>
  <si>
    <t>Net realisable value (4,500-500)</t>
  </si>
  <si>
    <t>Total inventory</t>
  </si>
  <si>
    <t>Less: Cost of affected inventory</t>
  </si>
  <si>
    <t>Add: NRV</t>
  </si>
  <si>
    <t>W6 - Cost of sales</t>
  </si>
  <si>
    <t>Opening stock</t>
  </si>
  <si>
    <t>Add: Purchases</t>
  </si>
  <si>
    <t>Cost of goods available for sale</t>
  </si>
  <si>
    <r>
      <t>Less: Closing stock (</t>
    </r>
    <r>
      <rPr>
        <b/>
        <sz val="11"/>
        <color theme="1"/>
        <rFont val="Aptos Narrow"/>
        <family val="2"/>
        <scheme val="minor"/>
      </rPr>
      <t>W5</t>
    </r>
    <r>
      <rPr>
        <sz val="11"/>
        <color theme="1"/>
        <rFont val="Aptos Narrow"/>
        <family val="2"/>
        <scheme val="minor"/>
      </rPr>
      <t>)</t>
    </r>
  </si>
  <si>
    <t>Cost of sales</t>
  </si>
  <si>
    <t>Statement of Profit or Loss and Other Comprehensive Income</t>
  </si>
  <si>
    <t>Sales/ Revenue</t>
  </si>
  <si>
    <r>
      <t>Less: Cost of Sales (</t>
    </r>
    <r>
      <rPr>
        <b/>
        <sz val="11"/>
        <color theme="1"/>
        <rFont val="Aptos Narrow"/>
        <family val="2"/>
        <scheme val="minor"/>
      </rPr>
      <t>W6</t>
    </r>
    <r>
      <rPr>
        <sz val="11"/>
        <color theme="1"/>
        <rFont val="Aptos Narrow"/>
        <family val="2"/>
        <scheme val="minor"/>
      </rPr>
      <t>)</t>
    </r>
  </si>
  <si>
    <t>Gross Profit</t>
  </si>
  <si>
    <t>Distribution costs</t>
  </si>
  <si>
    <t>Admnistration expenses</t>
  </si>
  <si>
    <t>Profit before interest and tax (PBIT)</t>
  </si>
  <si>
    <r>
      <t>Interest expense (</t>
    </r>
    <r>
      <rPr>
        <b/>
        <sz val="11"/>
        <color theme="1"/>
        <rFont val="Aptos Narrow"/>
        <family val="2"/>
        <scheme val="minor"/>
      </rPr>
      <t>W4</t>
    </r>
    <r>
      <rPr>
        <sz val="11"/>
        <color theme="1"/>
        <rFont val="Aptos Narrow"/>
        <family val="2"/>
        <scheme val="minor"/>
      </rPr>
      <t>)</t>
    </r>
  </si>
  <si>
    <t>Profit before tax (PBT)</t>
  </si>
  <si>
    <r>
      <t>Tax (</t>
    </r>
    <r>
      <rPr>
        <b/>
        <sz val="11"/>
        <color theme="1"/>
        <rFont val="Aptos Narrow"/>
        <family val="2"/>
        <scheme val="minor"/>
      </rPr>
      <t>W3</t>
    </r>
    <r>
      <rPr>
        <sz val="11"/>
        <color theme="1"/>
        <rFont val="Aptos Narrow"/>
        <family val="2"/>
        <scheme val="minor"/>
      </rPr>
      <t>)</t>
    </r>
  </si>
  <si>
    <t>Profit after tax (PAT)</t>
  </si>
  <si>
    <t>Other comprehensive income</t>
  </si>
  <si>
    <r>
      <t>Revaluation Surpluse (</t>
    </r>
    <r>
      <rPr>
        <b/>
        <sz val="11"/>
        <color theme="1"/>
        <rFont val="Aptos Narrow"/>
        <family val="2"/>
        <scheme val="minor"/>
      </rPr>
      <t>W1</t>
    </r>
    <r>
      <rPr>
        <sz val="11"/>
        <color theme="1"/>
        <rFont val="Aptos Narrow"/>
        <family val="2"/>
        <scheme val="minor"/>
      </rPr>
      <t>)</t>
    </r>
  </si>
  <si>
    <t>Total Comprehensive Income</t>
  </si>
  <si>
    <t>Statement of Financial Position</t>
  </si>
  <si>
    <t>Non-current assets</t>
  </si>
  <si>
    <r>
      <t>Non-current assets (</t>
    </r>
    <r>
      <rPr>
        <b/>
        <sz val="11"/>
        <color theme="1"/>
        <rFont val="Aptos Narrow"/>
        <family val="2"/>
        <scheme val="minor"/>
      </rPr>
      <t>W1</t>
    </r>
    <r>
      <rPr>
        <sz val="11"/>
        <color theme="1"/>
        <rFont val="Aptos Narrow"/>
        <family val="2"/>
        <scheme val="minor"/>
      </rPr>
      <t>)</t>
    </r>
  </si>
  <si>
    <t>Current assets</t>
  </si>
  <si>
    <r>
      <t>Inventory (</t>
    </r>
    <r>
      <rPr>
        <b/>
        <sz val="11"/>
        <color theme="1"/>
        <rFont val="Aptos Narrow"/>
        <family val="2"/>
        <scheme val="minor"/>
      </rPr>
      <t>W5</t>
    </r>
    <r>
      <rPr>
        <sz val="11"/>
        <color theme="1"/>
        <rFont val="Aptos Narrow"/>
        <family val="2"/>
        <scheme val="minor"/>
      </rPr>
      <t>)</t>
    </r>
  </si>
  <si>
    <t>Receivables</t>
  </si>
  <si>
    <t>Cash and cash equivalents</t>
  </si>
  <si>
    <t>TOTAL ASSETS</t>
  </si>
  <si>
    <t>Non-current liabilities</t>
  </si>
  <si>
    <t>10% loan notes</t>
  </si>
  <si>
    <r>
      <t>Deferred tax (</t>
    </r>
    <r>
      <rPr>
        <b/>
        <sz val="11"/>
        <color theme="1"/>
        <rFont val="Aptos Narrow"/>
        <family val="2"/>
        <scheme val="minor"/>
      </rPr>
      <t>W3</t>
    </r>
    <r>
      <rPr>
        <sz val="11"/>
        <color theme="1"/>
        <rFont val="Aptos Narrow"/>
        <family val="2"/>
        <scheme val="minor"/>
      </rPr>
      <t>) 8,000 + 600</t>
    </r>
  </si>
  <si>
    <t>Current liabilities</t>
  </si>
  <si>
    <t>Trade payables</t>
  </si>
  <si>
    <r>
      <t>Interest accrued (</t>
    </r>
    <r>
      <rPr>
        <b/>
        <sz val="11"/>
        <color theme="1"/>
        <rFont val="Aptos Narrow"/>
        <family val="2"/>
        <scheme val="minor"/>
      </rPr>
      <t>W4</t>
    </r>
    <r>
      <rPr>
        <sz val="11"/>
        <color theme="1"/>
        <rFont val="Aptos Narrow"/>
        <family val="2"/>
        <scheme val="minor"/>
      </rPr>
      <t>)</t>
    </r>
  </si>
  <si>
    <r>
      <t>Income tax (</t>
    </r>
    <r>
      <rPr>
        <b/>
        <sz val="11"/>
        <color theme="1"/>
        <rFont val="Aptos Narrow"/>
        <family val="2"/>
        <scheme val="minor"/>
      </rPr>
      <t>W3</t>
    </r>
    <r>
      <rPr>
        <sz val="11"/>
        <color theme="1"/>
        <rFont val="Aptos Narrow"/>
        <family val="2"/>
        <scheme val="minor"/>
      </rPr>
      <t>)</t>
    </r>
  </si>
  <si>
    <t>Equity</t>
  </si>
  <si>
    <t>Ordinary share capital of $0.50 each</t>
  </si>
  <si>
    <t>Share premium</t>
  </si>
  <si>
    <r>
      <t>Revaluation Surplus (</t>
    </r>
    <r>
      <rPr>
        <b/>
        <sz val="11"/>
        <color theme="1"/>
        <rFont val="Aptos Narrow"/>
        <family val="2"/>
        <scheme val="minor"/>
      </rPr>
      <t>W1</t>
    </r>
    <r>
      <rPr>
        <sz val="11"/>
        <color theme="1"/>
        <rFont val="Aptos Narrow"/>
        <family val="2"/>
        <scheme val="minor"/>
      </rPr>
      <t>)</t>
    </r>
  </si>
  <si>
    <t>Retained Earnings (3,000+4,150 - 1,600)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</si>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</sst>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3" fontId="0" fillId="0" borderId="0" xfId="0" applyNumberFormat="1"/>
    <xf numFmtId="3" fontId="4" fillId="0" borderId="0" xfId="0" applyNumberFormat="1" applyFont="1"/>
    <xf numFmtId="3" fontId="3" fillId="0" borderId="0" xfId="0" applyNumberFormat="1" applyFont="1"/>
    <xf numFmtId="165" fontId="0" fillId="0" borderId="0" xfId="1" applyNumberFormat="1" applyFont="1"/>
    <xf numFmtId="0" fontId="0" fillId="0" borderId="1" xfId="0" applyBorder="1"/>
    <xf numFmtId="3" fontId="2" fillId="0" borderId="0" xfId="0" applyNumberFormat="1" applyFont="1"/>
    <xf numFmtId="3" fontId="0" fillId="0" borderId="1" xfId="0" applyNumberFormat="1" applyBorder="1"/>
    <xf numFmtId="165" fontId="0" fillId="0" borderId="1" xfId="1" applyNumberFormat="1" applyFont="1" applyBorder="1"/>
    <xf numFmtId="165" fontId="3" fillId="0" borderId="0" xfId="1" applyNumberFormat="1" applyFont="1"/>
    <xf numFmtId="0" fontId="0" fillId="0" borderId="0" xfId="0" applyFont="1"/>
    <xf numFmtId="0" fontId="3" fillId="2" borderId="0" xfId="0" applyFont="1" applyFill="1"/>
    <xf numFmtId="0" fontId="0" fillId="2" borderId="0" xfId="0" applyFill="1"/>
    <xf numFmtId="165" fontId="3" fillId="2" borderId="0" xfId="1" applyNumberFormat="1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6B55-EEC4-4B9F-A959-51DD669F6AF3}">
  <dimension ref="A1:R51"/>
  <sheetViews>
    <sheetView tabSelected="1" zoomScale="150" zoomScaleNormal="150" workbookViewId="0">
      <selection activeCell="N10" sqref="N10"/>
    </sheetView>
  </sheetViews>
  <sheetFormatPr defaultRowHeight="15" x14ac:dyDescent="0.25"/>
  <cols>
    <col min="6" max="6" width="9.7109375" bestFit="1" customWidth="1"/>
    <col min="12" max="12" width="10.7109375" style="5" bestFit="1" customWidth="1"/>
    <col min="13" max="13" width="9.140625" style="15"/>
    <col min="18" max="18" width="10.7109375" style="5" bestFit="1" customWidth="1"/>
  </cols>
  <sheetData>
    <row r="1" spans="1:18" x14ac:dyDescent="0.25">
      <c r="A1" s="1" t="s">
        <v>0</v>
      </c>
      <c r="H1" s="1" t="s">
        <v>37</v>
      </c>
      <c r="N1" s="1" t="s">
        <v>51</v>
      </c>
    </row>
    <row r="3" spans="1:18" x14ac:dyDescent="0.25">
      <c r="A3" s="1" t="s">
        <v>1</v>
      </c>
      <c r="H3" t="s">
        <v>38</v>
      </c>
      <c r="L3" s="5">
        <v>50000</v>
      </c>
      <c r="M3" s="16">
        <v>0.5</v>
      </c>
      <c r="N3" s="1" t="s">
        <v>52</v>
      </c>
    </row>
    <row r="4" spans="1:18" x14ac:dyDescent="0.25">
      <c r="H4" t="s">
        <v>39</v>
      </c>
      <c r="L4" s="9">
        <v>-16000</v>
      </c>
      <c r="M4" s="16">
        <v>0.5</v>
      </c>
      <c r="N4" s="11" t="s">
        <v>53</v>
      </c>
      <c r="R4" s="5">
        <v>41000</v>
      </c>
    </row>
    <row r="5" spans="1:18" x14ac:dyDescent="0.25">
      <c r="A5" t="s">
        <v>3</v>
      </c>
      <c r="F5" s="2">
        <v>35000</v>
      </c>
      <c r="H5" s="1" t="s">
        <v>40</v>
      </c>
      <c r="L5" s="5">
        <f>L3+L4</f>
        <v>34000</v>
      </c>
      <c r="M5" s="16"/>
    </row>
    <row r="6" spans="1:18" x14ac:dyDescent="0.25">
      <c r="A6" t="s">
        <v>2</v>
      </c>
      <c r="F6" s="3">
        <v>6000</v>
      </c>
      <c r="M6" s="16"/>
      <c r="N6" s="1" t="s">
        <v>54</v>
      </c>
    </row>
    <row r="7" spans="1:18" x14ac:dyDescent="0.25">
      <c r="F7" s="4">
        <v>41000</v>
      </c>
      <c r="H7" t="s">
        <v>41</v>
      </c>
      <c r="L7" s="5">
        <v>10400</v>
      </c>
      <c r="M7" s="16">
        <v>0.5</v>
      </c>
      <c r="N7" t="s">
        <v>55</v>
      </c>
      <c r="R7" s="5">
        <v>12000</v>
      </c>
    </row>
    <row r="8" spans="1:18" x14ac:dyDescent="0.25">
      <c r="H8" t="s">
        <v>42</v>
      </c>
      <c r="L8" s="9">
        <v>15550</v>
      </c>
      <c r="M8" s="16">
        <v>0.5</v>
      </c>
      <c r="N8" t="s">
        <v>56</v>
      </c>
      <c r="R8" s="5">
        <v>10450</v>
      </c>
    </row>
    <row r="9" spans="1:18" x14ac:dyDescent="0.25">
      <c r="B9" t="s">
        <v>4</v>
      </c>
      <c r="D9" s="2">
        <v>6000</v>
      </c>
      <c r="H9" s="1" t="s">
        <v>43</v>
      </c>
      <c r="L9" s="10">
        <f>L5-L7-L8</f>
        <v>8050</v>
      </c>
      <c r="M9" s="16"/>
      <c r="N9" t="s">
        <v>57</v>
      </c>
      <c r="R9" s="5">
        <v>8100</v>
      </c>
    </row>
    <row r="10" spans="1:18" x14ac:dyDescent="0.25">
      <c r="B10" t="s">
        <v>5</v>
      </c>
      <c r="E10" s="2">
        <v>6000</v>
      </c>
      <c r="H10" t="s">
        <v>44</v>
      </c>
      <c r="L10" s="9">
        <v>-800</v>
      </c>
      <c r="M10" s="16">
        <v>0.5</v>
      </c>
      <c r="R10" s="10">
        <f>R7+R8+R9</f>
        <v>30550</v>
      </c>
    </row>
    <row r="11" spans="1:18" x14ac:dyDescent="0.25">
      <c r="H11" s="1" t="s">
        <v>45</v>
      </c>
      <c r="I11" s="1"/>
      <c r="J11" s="1"/>
      <c r="K11" s="1"/>
      <c r="L11" s="10">
        <f>L9+L10</f>
        <v>7250</v>
      </c>
      <c r="M11" s="16"/>
    </row>
    <row r="12" spans="1:18" x14ac:dyDescent="0.25">
      <c r="A12" s="1" t="s">
        <v>6</v>
      </c>
      <c r="H12" t="s">
        <v>46</v>
      </c>
      <c r="L12" s="9">
        <v>-3100</v>
      </c>
      <c r="M12" s="16">
        <v>0.5</v>
      </c>
      <c r="N12" s="12" t="s">
        <v>58</v>
      </c>
      <c r="O12" s="13"/>
      <c r="P12" s="13"/>
      <c r="Q12" s="13"/>
      <c r="R12" s="14">
        <f>R4+R10</f>
        <v>71550</v>
      </c>
    </row>
    <row r="13" spans="1:18" x14ac:dyDescent="0.25">
      <c r="A13" t="s">
        <v>7</v>
      </c>
      <c r="E13" s="2">
        <v>16000</v>
      </c>
      <c r="F13" t="s">
        <v>8</v>
      </c>
      <c r="H13" s="1" t="s">
        <v>47</v>
      </c>
      <c r="L13" s="10">
        <f>L11+L12</f>
        <v>4150</v>
      </c>
      <c r="M13" s="16"/>
    </row>
    <row r="14" spans="1:18" x14ac:dyDescent="0.25">
      <c r="A14" t="s">
        <v>9</v>
      </c>
      <c r="M14" s="16"/>
      <c r="N14" s="1" t="s">
        <v>59</v>
      </c>
    </row>
    <row r="15" spans="1:18" x14ac:dyDescent="0.25">
      <c r="B15" t="s">
        <v>10</v>
      </c>
      <c r="F15" s="5">
        <f>16000*0.1</f>
        <v>1600</v>
      </c>
      <c r="H15" s="1" t="s">
        <v>48</v>
      </c>
      <c r="M15" s="16"/>
      <c r="N15" t="s">
        <v>60</v>
      </c>
      <c r="R15" s="5">
        <v>8000</v>
      </c>
    </row>
    <row r="16" spans="1:18" x14ac:dyDescent="0.25">
      <c r="H16" t="s">
        <v>49</v>
      </c>
      <c r="L16" s="9">
        <v>6000</v>
      </c>
      <c r="M16" s="16">
        <v>0.5</v>
      </c>
      <c r="N16" s="11" t="s">
        <v>61</v>
      </c>
      <c r="R16" s="9">
        <v>8600</v>
      </c>
    </row>
    <row r="17" spans="1:18" x14ac:dyDescent="0.25">
      <c r="B17" t="s">
        <v>11</v>
      </c>
      <c r="D17" s="2">
        <v>1600</v>
      </c>
      <c r="H17" s="1" t="s">
        <v>50</v>
      </c>
      <c r="L17" s="10">
        <v>10150</v>
      </c>
      <c r="R17" s="10">
        <f>R15+R16</f>
        <v>16600</v>
      </c>
    </row>
    <row r="18" spans="1:18" x14ac:dyDescent="0.25">
      <c r="B18" t="s">
        <v>12</v>
      </c>
      <c r="E18" s="2">
        <v>1600</v>
      </c>
      <c r="M18" s="16">
        <f>SUM(M3:M16)</f>
        <v>3.5</v>
      </c>
    </row>
    <row r="19" spans="1:18" x14ac:dyDescent="0.25">
      <c r="N19" s="1" t="s">
        <v>62</v>
      </c>
    </row>
    <row r="20" spans="1:18" x14ac:dyDescent="0.25">
      <c r="A20" s="1" t="s">
        <v>13</v>
      </c>
      <c r="N20" t="s">
        <v>63</v>
      </c>
      <c r="R20" s="5">
        <v>29000</v>
      </c>
    </row>
    <row r="21" spans="1:18" x14ac:dyDescent="0.25">
      <c r="B21" t="s">
        <v>14</v>
      </c>
      <c r="F21" s="2">
        <v>3000</v>
      </c>
      <c r="N21" t="s">
        <v>64</v>
      </c>
      <c r="R21" s="5">
        <v>400</v>
      </c>
    </row>
    <row r="22" spans="1:18" x14ac:dyDescent="0.25">
      <c r="B22" t="s">
        <v>15</v>
      </c>
      <c r="F22">
        <v>-500</v>
      </c>
      <c r="N22" t="s">
        <v>65</v>
      </c>
      <c r="R22" s="9">
        <v>3000</v>
      </c>
    </row>
    <row r="23" spans="1:18" x14ac:dyDescent="0.25">
      <c r="B23" t="s">
        <v>16</v>
      </c>
      <c r="F23" s="6">
        <v>600</v>
      </c>
      <c r="R23" s="10">
        <f>SUM(R20:R22)</f>
        <v>32400</v>
      </c>
    </row>
    <row r="24" spans="1:18" x14ac:dyDescent="0.25">
      <c r="F24" s="4">
        <f>SUM(F21:F23)</f>
        <v>3100</v>
      </c>
    </row>
    <row r="25" spans="1:18" x14ac:dyDescent="0.25">
      <c r="N25" s="1" t="s">
        <v>66</v>
      </c>
    </row>
    <row r="26" spans="1:18" x14ac:dyDescent="0.25">
      <c r="C26" t="s">
        <v>17</v>
      </c>
      <c r="E26">
        <v>600</v>
      </c>
      <c r="N26" t="s">
        <v>67</v>
      </c>
      <c r="R26" s="5">
        <v>8000</v>
      </c>
    </row>
    <row r="27" spans="1:18" x14ac:dyDescent="0.25">
      <c r="C27" t="s">
        <v>18</v>
      </c>
      <c r="E27">
        <v>600</v>
      </c>
      <c r="N27" t="s">
        <v>68</v>
      </c>
      <c r="R27" s="5">
        <v>3000</v>
      </c>
    </row>
    <row r="28" spans="1:18" x14ac:dyDescent="0.25">
      <c r="N28" t="s">
        <v>69</v>
      </c>
      <c r="R28" s="5">
        <v>6000</v>
      </c>
    </row>
    <row r="29" spans="1:18" x14ac:dyDescent="0.25">
      <c r="A29" s="1" t="s">
        <v>19</v>
      </c>
      <c r="N29" t="s">
        <v>70</v>
      </c>
      <c r="R29" s="9">
        <f>3000+4150-1600</f>
        <v>5550</v>
      </c>
    </row>
    <row r="30" spans="1:18" x14ac:dyDescent="0.25">
      <c r="B30" t="s">
        <v>20</v>
      </c>
      <c r="F30">
        <v>800</v>
      </c>
      <c r="R30" s="10">
        <f>SUM(R26:R29)</f>
        <v>22550</v>
      </c>
    </row>
    <row r="31" spans="1:18" x14ac:dyDescent="0.25">
      <c r="B31" t="s">
        <v>21</v>
      </c>
      <c r="F31" s="6">
        <v>400</v>
      </c>
    </row>
    <row r="32" spans="1:18" x14ac:dyDescent="0.25">
      <c r="B32" t="s">
        <v>22</v>
      </c>
      <c r="F32" s="1">
        <v>400</v>
      </c>
      <c r="N32" s="12" t="s">
        <v>71</v>
      </c>
      <c r="O32" s="13"/>
      <c r="P32" s="13"/>
      <c r="Q32" s="13"/>
      <c r="R32" s="14">
        <f>R17+R23+R30</f>
        <v>71550</v>
      </c>
    </row>
    <row r="33" spans="1:6" x14ac:dyDescent="0.25">
      <c r="F33" s="1"/>
    </row>
    <row r="34" spans="1:6" x14ac:dyDescent="0.25">
      <c r="C34" t="s">
        <v>23</v>
      </c>
      <c r="E34">
        <v>400</v>
      </c>
    </row>
    <row r="35" spans="1:6" x14ac:dyDescent="0.25">
      <c r="C35" t="s">
        <v>24</v>
      </c>
      <c r="E35">
        <v>400</v>
      </c>
    </row>
    <row r="37" spans="1:6" x14ac:dyDescent="0.25">
      <c r="A37" s="1" t="s">
        <v>25</v>
      </c>
    </row>
    <row r="38" spans="1:6" x14ac:dyDescent="0.25">
      <c r="A38" t="s">
        <v>26</v>
      </c>
      <c r="F38" s="2">
        <v>8000</v>
      </c>
    </row>
    <row r="39" spans="1:6" x14ac:dyDescent="0.25">
      <c r="A39" t="s">
        <v>27</v>
      </c>
      <c r="F39" s="2">
        <v>4000</v>
      </c>
    </row>
    <row r="41" spans="1:6" x14ac:dyDescent="0.25">
      <c r="B41" t="s">
        <v>28</v>
      </c>
      <c r="F41" s="2">
        <v>16000</v>
      </c>
    </row>
    <row r="42" spans="1:6" x14ac:dyDescent="0.25">
      <c r="B42" t="s">
        <v>29</v>
      </c>
      <c r="F42" s="2">
        <v>-8000</v>
      </c>
    </row>
    <row r="43" spans="1:6" x14ac:dyDescent="0.25">
      <c r="B43" t="s">
        <v>30</v>
      </c>
      <c r="F43" s="2">
        <v>4000</v>
      </c>
    </row>
    <row r="44" spans="1:6" x14ac:dyDescent="0.25">
      <c r="F44" s="4">
        <f>SUM(F41:F43)</f>
        <v>12000</v>
      </c>
    </row>
    <row r="46" spans="1:6" x14ac:dyDescent="0.25">
      <c r="A46" s="1" t="s">
        <v>31</v>
      </c>
    </row>
    <row r="47" spans="1:6" x14ac:dyDescent="0.25">
      <c r="B47" t="s">
        <v>32</v>
      </c>
      <c r="F47" s="2">
        <v>8000</v>
      </c>
    </row>
    <row r="48" spans="1:6" x14ac:dyDescent="0.25">
      <c r="B48" t="s">
        <v>33</v>
      </c>
      <c r="F48" s="8">
        <v>20000</v>
      </c>
    </row>
    <row r="49" spans="2:6" x14ac:dyDescent="0.25">
      <c r="B49" t="s">
        <v>34</v>
      </c>
      <c r="F49" s="2">
        <v>28000</v>
      </c>
    </row>
    <row r="50" spans="2:6" x14ac:dyDescent="0.25">
      <c r="B50" t="s">
        <v>35</v>
      </c>
      <c r="F50" s="7">
        <f>F44</f>
        <v>12000</v>
      </c>
    </row>
    <row r="51" spans="2:6" x14ac:dyDescent="0.25">
      <c r="B51" t="s">
        <v>36</v>
      </c>
      <c r="F51" s="4">
        <f>F49-F50</f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Gande</dc:creator>
  <cp:lastModifiedBy>Tapiwa Gande</cp:lastModifiedBy>
  <dcterms:created xsi:type="dcterms:W3CDTF">2026-02-23T11:44:47Z</dcterms:created>
  <dcterms:modified xsi:type="dcterms:W3CDTF">2026-02-23T12:47:48Z</dcterms:modified>
</cp:coreProperties>
</file>