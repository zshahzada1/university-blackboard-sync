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g629\Downloads\"/>
    </mc:Choice>
  </mc:AlternateContent>
  <xr:revisionPtr revIDLastSave="0" documentId="13_ncr:1_{AA2BB8D1-1069-4A6E-B648-44D46F44306E}" xr6:coauthVersionLast="47" xr6:coauthVersionMax="47" xr10:uidLastSave="{00000000-0000-0000-0000-000000000000}"/>
  <bookViews>
    <workbookView xWindow="-120" yWindow="-120" windowWidth="29040" windowHeight="15720" xr2:uid="{7E816094-0C16-4EEB-BEC9-06A0E6F44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2" i="1" l="1"/>
  <c r="R30" i="1"/>
  <c r="R29" i="1"/>
  <c r="E15" i="1"/>
  <c r="E17" i="1" s="1"/>
  <c r="R23" i="1"/>
  <c r="R17" i="1"/>
  <c r="R12" i="1"/>
  <c r="R10" i="1"/>
  <c r="R4" i="1"/>
  <c r="L16" i="1"/>
  <c r="L12" i="1"/>
  <c r="L10" i="1"/>
  <c r="L8" i="1"/>
  <c r="L5" i="1"/>
  <c r="L4" i="1"/>
  <c r="E52" i="1"/>
  <c r="E51" i="1"/>
  <c r="E44" i="1"/>
  <c r="E43" i="1"/>
  <c r="E42" i="1"/>
  <c r="E31" i="1"/>
  <c r="E24" i="1"/>
  <c r="E22" i="1"/>
  <c r="E16" i="1"/>
</calcChain>
</file>

<file path=xl/sharedStrings.xml><?xml version="1.0" encoding="utf-8"?>
<sst xmlns="http://schemas.openxmlformats.org/spreadsheetml/2006/main" count="79" uniqueCount="77">
  <si>
    <t>W1 - Non-current assets</t>
  </si>
  <si>
    <t>Non-current assets per TB</t>
  </si>
  <si>
    <t>Revaluation of land (11,000 - 5,000)</t>
  </si>
  <si>
    <t>Dr Asset</t>
  </si>
  <si>
    <t>Cr Rev. Reserve</t>
  </si>
  <si>
    <t>W2 - Retained Earnings</t>
  </si>
  <si>
    <t>Shsre capital of $8,000 beng $0.50 ech = 16,000 shares</t>
  </si>
  <si>
    <t>Dividne is no. of shares x 10c per share</t>
  </si>
  <si>
    <t>$</t>
  </si>
  <si>
    <t>Opening balance of retained earnings</t>
  </si>
  <si>
    <t>Less: dividend proposed and paid</t>
  </si>
  <si>
    <t>W3 - Tax</t>
  </si>
  <si>
    <t>Current year tax</t>
  </si>
  <si>
    <t>Overprovision of tax from prior year</t>
  </si>
  <si>
    <t>Deferred tax icrease (8,600 - 8,000)</t>
  </si>
  <si>
    <t>W4 - Loan interest</t>
  </si>
  <si>
    <t>Interest paid (per TB)</t>
  </si>
  <si>
    <t>Interest accrued</t>
  </si>
  <si>
    <t>Dr Expense</t>
  </si>
  <si>
    <t>Cr Accruals (interest)</t>
  </si>
  <si>
    <t>W5 - Inventory</t>
  </si>
  <si>
    <t>Affected inventory</t>
  </si>
  <si>
    <t>Cost</t>
  </si>
  <si>
    <t>NRV</t>
  </si>
  <si>
    <t>('4,500-500)</t>
  </si>
  <si>
    <t>Total inventory</t>
  </si>
  <si>
    <t>Less cost of affected inventory</t>
  </si>
  <si>
    <t>At NRV per workings</t>
  </si>
  <si>
    <t>Adjuisted tota value of inventory</t>
  </si>
  <si>
    <t>W6 - Cost of sales</t>
  </si>
  <si>
    <t>Opening inventory</t>
  </si>
  <si>
    <t>Add: Purchases</t>
  </si>
  <si>
    <t>Cost of good available for sale</t>
  </si>
  <si>
    <r>
      <t>Closing inventory (</t>
    </r>
    <r>
      <rPr>
        <b/>
        <sz val="11"/>
        <color theme="1"/>
        <rFont val="Aptos Narrow"/>
        <family val="2"/>
        <scheme val="minor"/>
      </rPr>
      <t>W5</t>
    </r>
    <r>
      <rPr>
        <sz val="11"/>
        <color theme="1"/>
        <rFont val="Aptos Narrow"/>
        <family val="2"/>
        <scheme val="minor"/>
      </rPr>
      <t>)</t>
    </r>
  </si>
  <si>
    <t>COST OF SALES</t>
  </si>
  <si>
    <t>Statement of Profit or Loss &amp; Other Copmprehensive Income</t>
  </si>
  <si>
    <t>Revenue</t>
  </si>
  <si>
    <r>
      <t>Cost of sales (</t>
    </r>
    <r>
      <rPr>
        <b/>
        <sz val="11"/>
        <color theme="1"/>
        <rFont val="Aptos Narrow"/>
        <family val="2"/>
        <scheme val="minor"/>
      </rPr>
      <t>W6</t>
    </r>
    <r>
      <rPr>
        <sz val="11"/>
        <color theme="1"/>
        <rFont val="Aptos Narrow"/>
        <family val="2"/>
        <scheme val="minor"/>
      </rPr>
      <t>)</t>
    </r>
  </si>
  <si>
    <t>Gross Profit</t>
  </si>
  <si>
    <t>Distribution costs</t>
  </si>
  <si>
    <t>Administration expenses</t>
  </si>
  <si>
    <t>Profit before interest and tax (PBIT)</t>
  </si>
  <si>
    <t>Interest expense (10% x $8,000)</t>
  </si>
  <si>
    <r>
      <t>Interest expense (</t>
    </r>
    <r>
      <rPr>
        <b/>
        <sz val="11"/>
        <color theme="1"/>
        <rFont val="Aptos Narrow"/>
        <family val="2"/>
        <scheme val="minor"/>
      </rPr>
      <t>W4</t>
    </r>
    <r>
      <rPr>
        <sz val="11"/>
        <color theme="1"/>
        <rFont val="Aptos Narrow"/>
        <family val="2"/>
        <scheme val="minor"/>
      </rPr>
      <t>)</t>
    </r>
  </si>
  <si>
    <t>Profit before tax (PBT)</t>
  </si>
  <si>
    <r>
      <t>Tax (</t>
    </r>
    <r>
      <rPr>
        <b/>
        <sz val="11"/>
        <color theme="1"/>
        <rFont val="Aptos Narrow"/>
        <family val="2"/>
        <scheme val="minor"/>
      </rPr>
      <t>W3</t>
    </r>
    <r>
      <rPr>
        <sz val="11"/>
        <color theme="1"/>
        <rFont val="Aptos Narrow"/>
        <family val="2"/>
        <scheme val="minor"/>
      </rPr>
      <t>)</t>
    </r>
  </si>
  <si>
    <t>Profit after tax (PAT)/ Profit for the year</t>
  </si>
  <si>
    <t>Other comprehensive income</t>
  </si>
  <si>
    <t>Total Comprehensive Income</t>
  </si>
  <si>
    <r>
      <t>Revaluation Surplus (</t>
    </r>
    <r>
      <rPr>
        <b/>
        <sz val="11"/>
        <color theme="1"/>
        <rFont val="Aptos Narrow"/>
        <family val="2"/>
        <scheme val="minor"/>
      </rPr>
      <t>W1</t>
    </r>
    <r>
      <rPr>
        <sz val="11"/>
        <color theme="1"/>
        <rFont val="Aptos Narrow"/>
        <family val="2"/>
        <scheme val="minor"/>
      </rPr>
      <t>)</t>
    </r>
  </si>
  <si>
    <t>Statement of Financial Position</t>
  </si>
  <si>
    <t>Non-current assets</t>
  </si>
  <si>
    <r>
      <t>(</t>
    </r>
    <r>
      <rPr>
        <b/>
        <sz val="11"/>
        <color theme="1"/>
        <rFont val="Aptos Narrow"/>
        <family val="2"/>
        <scheme val="minor"/>
      </rPr>
      <t>W1</t>
    </r>
    <r>
      <rPr>
        <sz val="11"/>
        <color theme="1"/>
        <rFont val="Aptos Narrow"/>
        <family val="2"/>
        <scheme val="minor"/>
      </rPr>
      <t>)</t>
    </r>
  </si>
  <si>
    <t>Current assets</t>
  </si>
  <si>
    <t xml:space="preserve">Inventory </t>
  </si>
  <si>
    <t>(W5)</t>
  </si>
  <si>
    <t>Trade receivables</t>
  </si>
  <si>
    <t>Cash and cash equivalents</t>
  </si>
  <si>
    <t>TOTAL ASSETS</t>
  </si>
  <si>
    <t>Non-current liabilities</t>
  </si>
  <si>
    <t>10% Loan notes</t>
  </si>
  <si>
    <t>Deferred Tax</t>
  </si>
  <si>
    <t>W3</t>
  </si>
  <si>
    <t>Current liabilities</t>
  </si>
  <si>
    <t>Trade creditors</t>
  </si>
  <si>
    <t xml:space="preserve">Interest accrued </t>
  </si>
  <si>
    <t>W4</t>
  </si>
  <si>
    <t>Income tax</t>
  </si>
  <si>
    <t>Equity</t>
  </si>
  <si>
    <t>Ordinary shares $0.50 each</t>
  </si>
  <si>
    <t>Share premium</t>
  </si>
  <si>
    <t>Revaluation Reserve</t>
  </si>
  <si>
    <t>W1</t>
  </si>
  <si>
    <t>Retaiined Earnings</t>
  </si>
  <si>
    <r>
      <rPr>
        <b/>
        <sz val="11"/>
        <color theme="1"/>
        <rFont val="Aptos Narrow"/>
        <family val="2"/>
        <scheme val="minor"/>
      </rPr>
      <t>Add</t>
    </r>
    <r>
      <rPr>
        <sz val="11"/>
        <color theme="1"/>
        <rFont val="Aptos Narrow"/>
        <family val="2"/>
        <scheme val="minor"/>
      </rPr>
      <t>: Profit for the year</t>
    </r>
  </si>
  <si>
    <t>W2</t>
  </si>
  <si>
    <t>TOTAL EQUITY &amp;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</si>
</sst>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3" fontId="0" fillId="0" borderId="0" xfId="0" applyNumberFormat="1"/>
    <xf numFmtId="3" fontId="0" fillId="0" borderId="1" xfId="0" applyNumberFormat="1" applyBorder="1"/>
    <xf numFmtId="3" fontId="2" fillId="0" borderId="0" xfId="0" applyNumberFormat="1" applyFont="1"/>
    <xf numFmtId="0" fontId="0" fillId="0" borderId="0" xfId="0" applyAlignment="1">
      <alignment horizontal="center"/>
    </xf>
    <xf numFmtId="3" fontId="1" fillId="0" borderId="1" xfId="0" applyNumberFormat="1" applyFont="1" applyBorder="1"/>
    <xf numFmtId="0" fontId="1" fillId="0" borderId="0" xfId="0" applyFont="1"/>
    <xf numFmtId="0" fontId="0" fillId="0" borderId="1" xfId="0" applyBorder="1"/>
    <xf numFmtId="0" fontId="3" fillId="0" borderId="0" xfId="0" applyFont="1"/>
    <xf numFmtId="3" fontId="3" fillId="0" borderId="0" xfId="0" applyNumberFormat="1" applyFont="1"/>
    <xf numFmtId="0" fontId="2" fillId="2" borderId="0" xfId="0" applyFont="1" applyFill="1"/>
    <xf numFmtId="0" fontId="0" fillId="2" borderId="0" xfId="0" applyFill="1"/>
    <xf numFmtId="3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B8235-2899-402A-8E5E-681A0876A99B}">
  <dimension ref="A1:R52"/>
  <sheetViews>
    <sheetView tabSelected="1" topLeftCell="K13" zoomScale="160" zoomScaleNormal="160" workbookViewId="0">
      <selection activeCell="R12" sqref="R12"/>
    </sheetView>
  </sheetViews>
  <sheetFormatPr defaultRowHeight="15" x14ac:dyDescent="0.25"/>
  <cols>
    <col min="3" max="3" width="10.5703125" customWidth="1"/>
  </cols>
  <sheetData>
    <row r="1" spans="1:18" x14ac:dyDescent="0.25">
      <c r="A1" s="1" t="s">
        <v>0</v>
      </c>
      <c r="E1" s="5" t="s">
        <v>8</v>
      </c>
      <c r="G1" s="1" t="s">
        <v>35</v>
      </c>
      <c r="N1" s="1" t="s">
        <v>50</v>
      </c>
    </row>
    <row r="3" spans="1:18" x14ac:dyDescent="0.25">
      <c r="A3" t="s">
        <v>1</v>
      </c>
      <c r="E3" s="2">
        <v>35000</v>
      </c>
      <c r="G3" t="s">
        <v>36</v>
      </c>
      <c r="L3" s="2">
        <v>50000</v>
      </c>
      <c r="N3" s="1" t="s">
        <v>51</v>
      </c>
    </row>
    <row r="4" spans="1:18" x14ac:dyDescent="0.25">
      <c r="A4" t="s">
        <v>2</v>
      </c>
      <c r="E4" s="3">
        <v>6000</v>
      </c>
      <c r="G4" t="s">
        <v>37</v>
      </c>
      <c r="L4" s="3">
        <f>-E52</f>
        <v>-16000</v>
      </c>
      <c r="N4" t="s">
        <v>51</v>
      </c>
      <c r="P4" t="s">
        <v>52</v>
      </c>
      <c r="R4" s="4">
        <f>E5</f>
        <v>41000</v>
      </c>
    </row>
    <row r="5" spans="1:18" x14ac:dyDescent="0.25">
      <c r="E5" s="4">
        <v>41000</v>
      </c>
      <c r="G5" s="1" t="s">
        <v>38</v>
      </c>
      <c r="L5" s="4">
        <f>L3+L4</f>
        <v>34000</v>
      </c>
    </row>
    <row r="6" spans="1:18" x14ac:dyDescent="0.25">
      <c r="B6" t="s">
        <v>3</v>
      </c>
      <c r="C6" s="2">
        <v>6000</v>
      </c>
      <c r="G6" t="s">
        <v>39</v>
      </c>
      <c r="L6" s="2">
        <v>10400</v>
      </c>
      <c r="N6" s="1" t="s">
        <v>53</v>
      </c>
    </row>
    <row r="7" spans="1:18" x14ac:dyDescent="0.25">
      <c r="B7" t="s">
        <v>4</v>
      </c>
      <c r="D7" s="2">
        <v>6000</v>
      </c>
      <c r="G7" t="s">
        <v>40</v>
      </c>
      <c r="L7" s="3">
        <v>15550</v>
      </c>
      <c r="N7" t="s">
        <v>54</v>
      </c>
      <c r="P7" s="1" t="s">
        <v>55</v>
      </c>
      <c r="R7" s="2">
        <v>12000</v>
      </c>
    </row>
    <row r="8" spans="1:18" x14ac:dyDescent="0.25">
      <c r="G8" s="1" t="s">
        <v>41</v>
      </c>
      <c r="L8" s="4">
        <f>L5-L6-L7</f>
        <v>8050</v>
      </c>
      <c r="N8" t="s">
        <v>56</v>
      </c>
      <c r="R8" s="2">
        <v>10450</v>
      </c>
    </row>
    <row r="9" spans="1:18" x14ac:dyDescent="0.25">
      <c r="A9" s="1" t="s">
        <v>5</v>
      </c>
      <c r="G9" t="s">
        <v>43</v>
      </c>
      <c r="L9" s="8">
        <v>800</v>
      </c>
      <c r="N9" t="s">
        <v>57</v>
      </c>
      <c r="R9" s="3">
        <v>8100</v>
      </c>
    </row>
    <row r="10" spans="1:18" x14ac:dyDescent="0.25">
      <c r="G10" s="1" t="s">
        <v>44</v>
      </c>
      <c r="L10" s="4">
        <f>L8-L9</f>
        <v>7250</v>
      </c>
      <c r="R10" s="4">
        <f>R7+R8+R9</f>
        <v>30550</v>
      </c>
    </row>
    <row r="11" spans="1:18" x14ac:dyDescent="0.25">
      <c r="A11" t="s">
        <v>6</v>
      </c>
      <c r="G11" t="s">
        <v>45</v>
      </c>
      <c r="L11" s="3">
        <v>3100</v>
      </c>
    </row>
    <row r="12" spans="1:18" x14ac:dyDescent="0.25">
      <c r="A12" t="s">
        <v>7</v>
      </c>
      <c r="E12" s="2">
        <v>1600</v>
      </c>
      <c r="G12" s="1" t="s">
        <v>46</v>
      </c>
      <c r="L12" s="4">
        <f>L10-L11</f>
        <v>4150</v>
      </c>
      <c r="N12" s="11" t="s">
        <v>58</v>
      </c>
      <c r="O12" s="12"/>
      <c r="P12" s="12"/>
      <c r="Q12" s="12"/>
      <c r="R12" s="13">
        <f>R4+R10</f>
        <v>71550</v>
      </c>
    </row>
    <row r="14" spans="1:18" x14ac:dyDescent="0.25">
      <c r="A14" t="s">
        <v>9</v>
      </c>
      <c r="E14" s="2">
        <v>3000</v>
      </c>
      <c r="G14" s="1" t="s">
        <v>47</v>
      </c>
      <c r="N14" s="1" t="s">
        <v>59</v>
      </c>
    </row>
    <row r="15" spans="1:18" x14ac:dyDescent="0.25">
      <c r="A15" t="s">
        <v>74</v>
      </c>
      <c r="E15" s="2">
        <f>L12</f>
        <v>4150</v>
      </c>
      <c r="G15" t="s">
        <v>49</v>
      </c>
      <c r="L15" s="3">
        <v>6000</v>
      </c>
      <c r="N15" t="s">
        <v>60</v>
      </c>
      <c r="R15" s="2">
        <v>8000</v>
      </c>
    </row>
    <row r="16" spans="1:18" x14ac:dyDescent="0.25">
      <c r="A16" t="s">
        <v>10</v>
      </c>
      <c r="E16" s="6">
        <f>-E12</f>
        <v>-1600</v>
      </c>
      <c r="G16" s="1" t="s">
        <v>48</v>
      </c>
      <c r="L16" s="4">
        <f>L12+L15</f>
        <v>10150</v>
      </c>
      <c r="N16" t="s">
        <v>61</v>
      </c>
      <c r="P16" s="1" t="s">
        <v>62</v>
      </c>
      <c r="R16" s="3">
        <v>8600</v>
      </c>
    </row>
    <row r="17" spans="1:18" x14ac:dyDescent="0.25">
      <c r="E17" s="4">
        <f>SUM(E14:E16)</f>
        <v>5550</v>
      </c>
      <c r="R17" s="4">
        <f>R15+R16</f>
        <v>16600</v>
      </c>
    </row>
    <row r="19" spans="1:18" x14ac:dyDescent="0.25">
      <c r="A19" s="1" t="s">
        <v>11</v>
      </c>
      <c r="N19" s="1" t="s">
        <v>63</v>
      </c>
    </row>
    <row r="20" spans="1:18" x14ac:dyDescent="0.25">
      <c r="N20" t="s">
        <v>64</v>
      </c>
      <c r="R20" s="2">
        <v>29000</v>
      </c>
    </row>
    <row r="21" spans="1:18" x14ac:dyDescent="0.25">
      <c r="A21" t="s">
        <v>12</v>
      </c>
      <c r="E21" s="2">
        <v>3000</v>
      </c>
      <c r="N21" t="s">
        <v>65</v>
      </c>
      <c r="P21" s="1" t="s">
        <v>66</v>
      </c>
      <c r="R21">
        <v>400</v>
      </c>
    </row>
    <row r="22" spans="1:18" x14ac:dyDescent="0.25">
      <c r="A22" t="s">
        <v>13</v>
      </c>
      <c r="E22" s="7">
        <f>-500</f>
        <v>-500</v>
      </c>
      <c r="N22" t="s">
        <v>67</v>
      </c>
      <c r="P22" s="1" t="s">
        <v>62</v>
      </c>
      <c r="R22" s="3">
        <v>3000</v>
      </c>
    </row>
    <row r="23" spans="1:18" x14ac:dyDescent="0.25">
      <c r="A23" t="s">
        <v>14</v>
      </c>
      <c r="E23" s="8">
        <v>600</v>
      </c>
      <c r="R23" s="4">
        <f>R20+R21+R22</f>
        <v>32400</v>
      </c>
    </row>
    <row r="24" spans="1:18" x14ac:dyDescent="0.25">
      <c r="E24" s="4">
        <f>SUM(E21:E23)</f>
        <v>3100</v>
      </c>
    </row>
    <row r="25" spans="1:18" x14ac:dyDescent="0.25">
      <c r="N25" s="1" t="s">
        <v>68</v>
      </c>
    </row>
    <row r="26" spans="1:18" x14ac:dyDescent="0.25">
      <c r="A26" s="1" t="s">
        <v>15</v>
      </c>
      <c r="N26" t="s">
        <v>69</v>
      </c>
      <c r="R26" s="2">
        <v>8000</v>
      </c>
    </row>
    <row r="27" spans="1:18" x14ac:dyDescent="0.25">
      <c r="N27" t="s">
        <v>70</v>
      </c>
      <c r="R27" s="2">
        <v>3000</v>
      </c>
    </row>
    <row r="28" spans="1:18" x14ac:dyDescent="0.25">
      <c r="A28" t="s">
        <v>42</v>
      </c>
      <c r="E28">
        <v>800</v>
      </c>
      <c r="N28" t="s">
        <v>71</v>
      </c>
      <c r="P28" s="1" t="s">
        <v>72</v>
      </c>
      <c r="R28" s="2">
        <v>6000</v>
      </c>
    </row>
    <row r="29" spans="1:18" x14ac:dyDescent="0.25">
      <c r="B29" t="s">
        <v>16</v>
      </c>
      <c r="D29">
        <v>400</v>
      </c>
      <c r="N29" t="s">
        <v>73</v>
      </c>
      <c r="P29" s="1" t="s">
        <v>75</v>
      </c>
      <c r="R29" s="3">
        <f>E17</f>
        <v>5550</v>
      </c>
    </row>
    <row r="30" spans="1:18" x14ac:dyDescent="0.25">
      <c r="B30" t="s">
        <v>17</v>
      </c>
      <c r="D30">
        <v>400</v>
      </c>
      <c r="R30" s="4">
        <f>SUM(R26:R29)</f>
        <v>22550</v>
      </c>
    </row>
    <row r="31" spans="1:18" x14ac:dyDescent="0.25">
      <c r="E31">
        <f>D29+D30</f>
        <v>800</v>
      </c>
    </row>
    <row r="32" spans="1:18" x14ac:dyDescent="0.25">
      <c r="N32" s="11" t="s">
        <v>76</v>
      </c>
      <c r="O32" s="11"/>
      <c r="P32" s="11"/>
      <c r="Q32" s="11"/>
      <c r="R32" s="13">
        <f>R17+R23+R30</f>
        <v>71550</v>
      </c>
    </row>
    <row r="33" spans="1:5" x14ac:dyDescent="0.25">
      <c r="B33" t="s">
        <v>18</v>
      </c>
      <c r="C33">
        <v>400</v>
      </c>
    </row>
    <row r="34" spans="1:5" x14ac:dyDescent="0.25">
      <c r="B34" t="s">
        <v>19</v>
      </c>
      <c r="D34">
        <v>400</v>
      </c>
    </row>
    <row r="36" spans="1:5" x14ac:dyDescent="0.25">
      <c r="A36" s="1" t="s">
        <v>20</v>
      </c>
    </row>
    <row r="38" spans="1:5" x14ac:dyDescent="0.25">
      <c r="A38" t="s">
        <v>21</v>
      </c>
      <c r="C38" t="s">
        <v>22</v>
      </c>
      <c r="D38" s="2">
        <v>8000</v>
      </c>
    </row>
    <row r="39" spans="1:5" x14ac:dyDescent="0.25">
      <c r="A39" s="9" t="s">
        <v>23</v>
      </c>
      <c r="B39" s="9"/>
      <c r="C39" s="9" t="s">
        <v>24</v>
      </c>
      <c r="D39" s="10">
        <v>4000</v>
      </c>
    </row>
    <row r="41" spans="1:5" x14ac:dyDescent="0.25">
      <c r="A41" t="s">
        <v>25</v>
      </c>
      <c r="E41" s="2">
        <v>16000</v>
      </c>
    </row>
    <row r="42" spans="1:5" x14ac:dyDescent="0.25">
      <c r="A42" t="s">
        <v>26</v>
      </c>
      <c r="E42" s="2">
        <f>-D38</f>
        <v>-8000</v>
      </c>
    </row>
    <row r="43" spans="1:5" x14ac:dyDescent="0.25">
      <c r="A43" t="s">
        <v>27</v>
      </c>
      <c r="E43" s="3">
        <f>D39</f>
        <v>4000</v>
      </c>
    </row>
    <row r="44" spans="1:5" x14ac:dyDescent="0.25">
      <c r="A44" t="s">
        <v>28</v>
      </c>
      <c r="E44" s="4">
        <f>SUM(E41:E43)</f>
        <v>12000</v>
      </c>
    </row>
    <row r="46" spans="1:5" x14ac:dyDescent="0.25">
      <c r="A46" s="1" t="s">
        <v>29</v>
      </c>
    </row>
    <row r="48" spans="1:5" x14ac:dyDescent="0.25">
      <c r="B48" t="s">
        <v>30</v>
      </c>
      <c r="E48" s="2">
        <v>8000</v>
      </c>
    </row>
    <row r="49" spans="2:5" x14ac:dyDescent="0.25">
      <c r="B49" t="s">
        <v>31</v>
      </c>
      <c r="E49" s="3">
        <v>20000</v>
      </c>
    </row>
    <row r="50" spans="2:5" x14ac:dyDescent="0.25">
      <c r="B50" t="s">
        <v>32</v>
      </c>
      <c r="E50" s="2">
        <v>28000</v>
      </c>
    </row>
    <row r="51" spans="2:5" x14ac:dyDescent="0.25">
      <c r="B51" t="s">
        <v>33</v>
      </c>
      <c r="E51" s="3">
        <f>-E44</f>
        <v>-12000</v>
      </c>
    </row>
    <row r="52" spans="2:5" x14ac:dyDescent="0.25">
      <c r="B52" s="1" t="s">
        <v>34</v>
      </c>
      <c r="C52" s="1"/>
      <c r="D52" s="1"/>
      <c r="E52" s="4">
        <f>E50+E51</f>
        <v>16000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Gande</dc:creator>
  <cp:lastModifiedBy>Tapiwa Gande</cp:lastModifiedBy>
  <dcterms:created xsi:type="dcterms:W3CDTF">2026-02-23T15:56:47Z</dcterms:created>
  <dcterms:modified xsi:type="dcterms:W3CDTF">2026-02-23T17:48:52Z</dcterms:modified>
</cp:coreProperties>
</file>