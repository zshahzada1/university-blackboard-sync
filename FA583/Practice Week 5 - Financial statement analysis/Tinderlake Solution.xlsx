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65DF1700-5BA5-49A0-905F-C6F1648D3E17}" xr6:coauthVersionLast="47" xr6:coauthVersionMax="47" xr10:uidLastSave="{00000000-0000-0000-0000-000000000000}"/>
  <bookViews>
    <workbookView xWindow="9630" yWindow="0" windowWidth="9945" windowHeight="10185" xr2:uid="{75DC1414-BD96-463D-946F-8B6EB93A1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F20" i="1"/>
  <c r="F18" i="1"/>
  <c r="D18" i="1"/>
  <c r="F16" i="1"/>
  <c r="D16" i="1"/>
  <c r="F10" i="1"/>
  <c r="D10" i="1"/>
  <c r="F9" i="1"/>
  <c r="D9" i="1"/>
  <c r="F7" i="1"/>
  <c r="D7" i="1"/>
  <c r="F5" i="1"/>
  <c r="D5" i="1"/>
  <c r="F3" i="1"/>
  <c r="D3" i="1"/>
</calcChain>
</file>

<file path=xl/sharedStrings.xml><?xml version="1.0" encoding="utf-8"?>
<sst xmlns="http://schemas.openxmlformats.org/spreadsheetml/2006/main" count="43" uniqueCount="43">
  <si>
    <t>TINDERLAKE</t>
  </si>
  <si>
    <t>ROCE</t>
  </si>
  <si>
    <t>PBIT/ CE</t>
  </si>
  <si>
    <t>820/ (5,508+1,000)</t>
  </si>
  <si>
    <t>745/(5,433+150)</t>
  </si>
  <si>
    <t>ROE</t>
  </si>
  <si>
    <t>GPM</t>
  </si>
  <si>
    <t>NPM</t>
  </si>
  <si>
    <t>PAT/ Equity</t>
  </si>
  <si>
    <t>555/5,508</t>
  </si>
  <si>
    <t>580/5,433</t>
  </si>
  <si>
    <t>Gross Profit/ Revenue</t>
  </si>
  <si>
    <t>907/5,327</t>
  </si>
  <si>
    <t>820/3,725</t>
  </si>
  <si>
    <t>Net Profit/ Revenue</t>
  </si>
  <si>
    <t>820/5,327</t>
  </si>
  <si>
    <t>745/3,725</t>
  </si>
  <si>
    <t>690/5,327</t>
  </si>
  <si>
    <t>725/3,725</t>
  </si>
  <si>
    <t>Current ratio</t>
  </si>
  <si>
    <t>Quick ratio</t>
  </si>
  <si>
    <t>Inventory HP</t>
  </si>
  <si>
    <t>Receivable CP</t>
  </si>
  <si>
    <t>Capital Gearing</t>
  </si>
  <si>
    <t>2,623/1,235</t>
  </si>
  <si>
    <t>2.12 : 1</t>
  </si>
  <si>
    <t>1,726/843</t>
  </si>
  <si>
    <t>2.05 : 1</t>
  </si>
  <si>
    <t>2,623 -1,334/1,235</t>
  </si>
  <si>
    <t>1.04 :1</t>
  </si>
  <si>
    <t>1,726 - 730/843</t>
  </si>
  <si>
    <t>1.18 : 1</t>
  </si>
  <si>
    <t>Inventory/COS x 365 days</t>
  </si>
  <si>
    <t>1,334 / 4,420 x 365 days</t>
  </si>
  <si>
    <t>Receivables/Revenue</t>
  </si>
  <si>
    <t>1,278/5,327 x 365 days</t>
  </si>
  <si>
    <t>596/3,725 x 365 days</t>
  </si>
  <si>
    <t>Debt (long term loan)/ Equiy + Debt</t>
  </si>
  <si>
    <t>150/(5,433+150)</t>
  </si>
  <si>
    <t>1,000/5,508+1,000</t>
  </si>
  <si>
    <t>730/ 2,905 x 365 days</t>
  </si>
  <si>
    <t>Current assets/ current liabilities</t>
  </si>
  <si>
    <t>Current assets - inventory/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</si>
</sst>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quotePrefix="1"/>
    <xf numFmtId="164" fontId="0" fillId="0" borderId="0" xfId="2" applyNumberFormat="1" applyFont="1"/>
    <xf numFmtId="0" fontId="2" fillId="0" borderId="0" xfId="0" applyFont="1"/>
    <xf numFmtId="0" fontId="2" fillId="2" borderId="0" xfId="0" applyFont="1" applyFill="1"/>
    <xf numFmtId="164" fontId="0" fillId="2" borderId="0" xfId="2" applyNumberFormat="1" applyFont="1" applyFill="1"/>
    <xf numFmtId="0" fontId="0" fillId="2" borderId="0" xfId="2" quotePrefix="1" applyNumberFormat="1" applyFont="1" applyFill="1"/>
    <xf numFmtId="166" fontId="0" fillId="2" borderId="0" xfId="1" applyNumberFormat="1" applyFont="1" applyFill="1"/>
    <xf numFmtId="1" fontId="0" fillId="2" borderId="0" xfId="2" applyNumberFormat="1" applyFont="1" applyFill="1"/>
    <xf numFmtId="0" fontId="0" fillId="2" borderId="0" xfId="2" applyNumberFormat="1" applyFont="1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0" fontId="0" fillId="2" borderId="0" xfId="2" quotePrefix="1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C131-10C8-44DC-B6D6-4E5BEDD19A64}">
  <dimension ref="A1:F23"/>
  <sheetViews>
    <sheetView tabSelected="1" zoomScale="90" zoomScaleNormal="90" workbookViewId="0">
      <pane ySplit="2" topLeftCell="A3" activePane="bottomLeft" state="frozen"/>
      <selection pane="bottomLeft" activeCell="B11" sqref="B11"/>
    </sheetView>
  </sheetViews>
  <sheetFormatPr defaultRowHeight="15" x14ac:dyDescent="0.25"/>
  <cols>
    <col min="1" max="1" width="12.5703125" customWidth="1"/>
    <col min="2" max="2" width="18.85546875" customWidth="1"/>
    <col min="3" max="3" width="17.140625" customWidth="1"/>
    <col min="5" max="5" width="17.5703125" customWidth="1"/>
  </cols>
  <sheetData>
    <row r="1" spans="1:6" x14ac:dyDescent="0.25">
      <c r="A1" s="3" t="s">
        <v>0</v>
      </c>
    </row>
    <row r="2" spans="1:6" x14ac:dyDescent="0.25">
      <c r="D2" s="4">
        <v>2019</v>
      </c>
      <c r="E2" s="3"/>
      <c r="F2" s="4">
        <v>2018</v>
      </c>
    </row>
    <row r="3" spans="1:6" x14ac:dyDescent="0.25">
      <c r="A3" s="3" t="s">
        <v>1</v>
      </c>
      <c r="B3" t="s">
        <v>2</v>
      </c>
      <c r="C3" s="1" t="s">
        <v>3</v>
      </c>
      <c r="D3" s="5">
        <f>820/(5508+1000)</f>
        <v>0.12599877074370006</v>
      </c>
      <c r="E3" s="1" t="s">
        <v>4</v>
      </c>
      <c r="F3" s="5">
        <f>745/(5433+150)</f>
        <v>0.13344080243596632</v>
      </c>
    </row>
    <row r="4" spans="1:6" x14ac:dyDescent="0.25">
      <c r="A4" s="3"/>
      <c r="D4" s="5"/>
      <c r="F4" s="5"/>
    </row>
    <row r="5" spans="1:6" x14ac:dyDescent="0.25">
      <c r="A5" s="3" t="s">
        <v>5</v>
      </c>
      <c r="B5" t="s">
        <v>8</v>
      </c>
      <c r="C5" s="1" t="s">
        <v>9</v>
      </c>
      <c r="D5" s="5">
        <f>555/5508</f>
        <v>0.10076252723311546</v>
      </c>
      <c r="E5" s="1" t="s">
        <v>10</v>
      </c>
      <c r="F5" s="5">
        <f>580/5433</f>
        <v>0.10675501564513161</v>
      </c>
    </row>
    <row r="6" spans="1:6" x14ac:dyDescent="0.25">
      <c r="A6" s="3"/>
      <c r="D6" s="5"/>
      <c r="F6" s="5"/>
    </row>
    <row r="7" spans="1:6" x14ac:dyDescent="0.25">
      <c r="A7" s="3" t="s">
        <v>6</v>
      </c>
      <c r="B7" t="s">
        <v>11</v>
      </c>
      <c r="C7" s="1" t="s">
        <v>12</v>
      </c>
      <c r="D7" s="5">
        <f>907/5327</f>
        <v>0.17026468931856581</v>
      </c>
      <c r="E7" s="1" t="s">
        <v>13</v>
      </c>
      <c r="F7" s="5">
        <f>820/3725</f>
        <v>0.22013422818791947</v>
      </c>
    </row>
    <row r="8" spans="1:6" x14ac:dyDescent="0.25">
      <c r="A8" s="3"/>
      <c r="D8" s="5"/>
      <c r="F8" s="5"/>
    </row>
    <row r="9" spans="1:6" x14ac:dyDescent="0.25">
      <c r="A9" s="3" t="s">
        <v>7</v>
      </c>
      <c r="B9" t="s">
        <v>14</v>
      </c>
      <c r="C9" s="1" t="s">
        <v>15</v>
      </c>
      <c r="D9" s="5">
        <f>820/5327</f>
        <v>0.15393279519429323</v>
      </c>
      <c r="E9" s="1" t="s">
        <v>16</v>
      </c>
      <c r="F9" s="5">
        <f>745/3725</f>
        <v>0.2</v>
      </c>
    </row>
    <row r="10" spans="1:6" x14ac:dyDescent="0.25">
      <c r="A10" s="3"/>
      <c r="C10" s="1" t="s">
        <v>17</v>
      </c>
      <c r="D10" s="5">
        <f>690/5327</f>
        <v>0.1295288154683687</v>
      </c>
      <c r="E10" s="1" t="s">
        <v>18</v>
      </c>
      <c r="F10" s="5">
        <f>725/3725</f>
        <v>0.19463087248322147</v>
      </c>
    </row>
    <row r="11" spans="1:6" x14ac:dyDescent="0.25">
      <c r="A11" s="3"/>
      <c r="D11" s="5"/>
      <c r="F11" s="5"/>
    </row>
    <row r="12" spans="1:6" x14ac:dyDescent="0.25">
      <c r="A12" s="3" t="s">
        <v>19</v>
      </c>
      <c r="B12" t="s">
        <v>41</v>
      </c>
      <c r="C12" s="1" t="s">
        <v>24</v>
      </c>
      <c r="D12" s="9" t="s">
        <v>25</v>
      </c>
      <c r="E12" s="6" t="s">
        <v>26</v>
      </c>
      <c r="F12" s="11" t="s">
        <v>27</v>
      </c>
    </row>
    <row r="13" spans="1:6" x14ac:dyDescent="0.25">
      <c r="A13" s="3"/>
      <c r="D13" s="10"/>
      <c r="F13" s="10"/>
    </row>
    <row r="14" spans="1:6" x14ac:dyDescent="0.25">
      <c r="A14" s="3" t="s">
        <v>20</v>
      </c>
      <c r="B14" t="s">
        <v>42</v>
      </c>
      <c r="C14" s="1" t="s">
        <v>28</v>
      </c>
      <c r="D14" s="9" t="s">
        <v>29</v>
      </c>
      <c r="E14" s="6" t="s">
        <v>30</v>
      </c>
      <c r="F14" s="9" t="s">
        <v>31</v>
      </c>
    </row>
    <row r="15" spans="1:6" x14ac:dyDescent="0.25">
      <c r="A15" s="3"/>
      <c r="D15" s="5"/>
      <c r="F15" s="5"/>
    </row>
    <row r="16" spans="1:6" x14ac:dyDescent="0.25">
      <c r="A16" s="3" t="s">
        <v>21</v>
      </c>
      <c r="B16" t="s">
        <v>32</v>
      </c>
      <c r="C16" t="s">
        <v>33</v>
      </c>
      <c r="D16" s="7">
        <f>1334/4420*365</f>
        <v>110.16063348416289</v>
      </c>
      <c r="E16" s="1" t="s">
        <v>40</v>
      </c>
      <c r="F16" s="7">
        <f>730/2904*365</f>
        <v>91.752754820936644</v>
      </c>
    </row>
    <row r="17" spans="1:6" x14ac:dyDescent="0.25">
      <c r="A17" s="3"/>
      <c r="D17" s="5"/>
      <c r="F17" s="5"/>
    </row>
    <row r="18" spans="1:6" x14ac:dyDescent="0.25">
      <c r="A18" s="3" t="s">
        <v>22</v>
      </c>
      <c r="B18" t="s">
        <v>34</v>
      </c>
      <c r="C18" s="1" t="s">
        <v>35</v>
      </c>
      <c r="D18" s="7">
        <f>1278/5327*365</f>
        <v>87.567110944246295</v>
      </c>
      <c r="E18" s="1" t="s">
        <v>36</v>
      </c>
      <c r="F18" s="8">
        <f>596/3725*365</f>
        <v>58.4</v>
      </c>
    </row>
    <row r="19" spans="1:6" x14ac:dyDescent="0.25">
      <c r="A19" s="3"/>
      <c r="D19" s="5"/>
      <c r="F19" s="5"/>
    </row>
    <row r="20" spans="1:6" x14ac:dyDescent="0.25">
      <c r="A20" s="3" t="s">
        <v>23</v>
      </c>
      <c r="B20" t="s">
        <v>37</v>
      </c>
      <c r="C20" s="1" t="s">
        <v>39</v>
      </c>
      <c r="D20" s="5">
        <f>1000/(5508+1000)</f>
        <v>0.15365703749231716</v>
      </c>
      <c r="E20" s="1" t="s">
        <v>38</v>
      </c>
      <c r="F20" s="5">
        <f>150/(5433+150)</f>
        <v>2.6867275658248254E-2</v>
      </c>
    </row>
    <row r="21" spans="1:6" x14ac:dyDescent="0.25">
      <c r="D21" s="2"/>
      <c r="F21" s="2"/>
    </row>
    <row r="22" spans="1:6" x14ac:dyDescent="0.25">
      <c r="D22" s="2"/>
      <c r="F22" s="2"/>
    </row>
    <row r="23" spans="1:6" x14ac:dyDescent="0.25">
      <c r="D23" s="2"/>
      <c r="F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2026-03-13T16:53:23Z</dcterms:created>
  <dcterms:modified xsi:type="dcterms:W3CDTF">2026-03-13T17:44:58Z</dcterms:modified>
</cp:coreProperties>
</file>