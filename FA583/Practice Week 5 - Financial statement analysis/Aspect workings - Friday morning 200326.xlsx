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g629\Downloads\"/>
    </mc:Choice>
  </mc:AlternateContent>
  <xr:revisionPtr revIDLastSave="0" documentId="13_ncr:1_{5608D8AD-B5E3-4F3F-94EA-990FC58D1481}" xr6:coauthVersionLast="47" xr6:coauthVersionMax="47" xr10:uidLastSave="{00000000-0000-0000-0000-000000000000}"/>
  <bookViews>
    <workbookView xWindow="-110" yWindow="-110" windowWidth="19420" windowHeight="10300" xr2:uid="{86313285-6AAB-4345-B716-A692BEB374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1" l="1"/>
  <c r="E36" i="1"/>
  <c r="E35" i="1"/>
  <c r="F34" i="1"/>
  <c r="F33" i="1"/>
  <c r="F32" i="1"/>
  <c r="G18" i="1"/>
  <c r="G17" i="1"/>
  <c r="G16" i="1"/>
  <c r="G15" i="1"/>
  <c r="G20" i="1" s="1"/>
  <c r="G8" i="1" s="1"/>
  <c r="G9" i="1" s="1"/>
  <c r="G25" i="1" s="1"/>
  <c r="G26" i="1" s="1"/>
  <c r="G14" i="1"/>
  <c r="G7" i="1"/>
  <c r="G6" i="1"/>
  <c r="G5" i="1"/>
</calcChain>
</file>

<file path=xl/sharedStrings.xml><?xml version="1.0" encoding="utf-8"?>
<sst xmlns="http://schemas.openxmlformats.org/spreadsheetml/2006/main" count="56" uniqueCount="50">
  <si>
    <t>Restated financial information</t>
  </si>
  <si>
    <t>a) Restatement of the Profit and Loss</t>
  </si>
  <si>
    <t>$'000</t>
  </si>
  <si>
    <t>20X4</t>
  </si>
  <si>
    <t>Revenue</t>
  </si>
  <si>
    <t>(54,200 - 2,100)</t>
  </si>
  <si>
    <t>Note (i)</t>
  </si>
  <si>
    <t>Cost of sales</t>
  </si>
  <si>
    <t>(21,500 - 1,200)</t>
  </si>
  <si>
    <t>Gross Profit</t>
  </si>
  <si>
    <t>W1 - Restatement of operating expenses</t>
  </si>
  <si>
    <t>As per FS/ question</t>
  </si>
  <si>
    <t>Note (ii)</t>
  </si>
  <si>
    <r>
      <rPr>
        <sz val="11"/>
        <color rgb="FFFF0000"/>
        <rFont val="Aptos Narrow"/>
        <family val="2"/>
        <scheme val="minor"/>
      </rPr>
      <t>Less</t>
    </r>
    <r>
      <rPr>
        <sz val="11"/>
        <color theme="1"/>
        <rFont val="Aptos Narrow"/>
        <family val="2"/>
        <scheme val="minor"/>
      </rPr>
      <t>: Gamilton management charge ($54,200 x 1%)</t>
    </r>
  </si>
  <si>
    <r>
      <rPr>
        <sz val="11"/>
        <color rgb="FF002060"/>
        <rFont val="Aptos Narrow"/>
        <family val="2"/>
        <scheme val="minor"/>
      </rPr>
      <t>Add</t>
    </r>
    <r>
      <rPr>
        <sz val="11"/>
        <color theme="1"/>
        <rFont val="Aptos Narrow"/>
        <family val="2"/>
        <scheme val="minor"/>
      </rPr>
      <t>: Funject management charge ($31800 x 10%)</t>
    </r>
  </si>
  <si>
    <t>Note (iii)</t>
  </si>
  <si>
    <r>
      <rPr>
        <sz val="11"/>
        <color rgb="FF002060"/>
        <rFont val="Aptos Narrow"/>
        <family val="2"/>
        <scheme val="minor"/>
      </rPr>
      <t>Add</t>
    </r>
    <r>
      <rPr>
        <sz val="11"/>
        <color theme="1"/>
        <rFont val="Aptos Narrow"/>
        <family val="2"/>
        <scheme val="minor"/>
      </rPr>
      <t>: Commercial rent</t>
    </r>
  </si>
  <si>
    <r>
      <rPr>
        <b/>
        <sz val="11"/>
        <color theme="1"/>
        <rFont val="Aptos Narrow"/>
        <family val="2"/>
        <scheme val="minor"/>
      </rPr>
      <t>Less</t>
    </r>
    <r>
      <rPr>
        <sz val="11"/>
        <color theme="1"/>
        <rFont val="Aptos Narrow"/>
        <family val="2"/>
        <scheme val="minor"/>
      </rPr>
      <t>: Operating expenses</t>
    </r>
  </si>
  <si>
    <t>W1</t>
  </si>
  <si>
    <t>Profit before tax/ operating profit</t>
  </si>
  <si>
    <t>b) Ratios based on restated figures</t>
  </si>
  <si>
    <t>Original profit</t>
  </si>
  <si>
    <t>Part a)</t>
  </si>
  <si>
    <t>Decrease (Requirement b)</t>
  </si>
  <si>
    <t>Cr Cash</t>
  </si>
  <si>
    <t>Dr  Retained Earnings</t>
  </si>
  <si>
    <t>Workings</t>
  </si>
  <si>
    <t>KPI</t>
  </si>
  <si>
    <t>Gross profit margin</t>
  </si>
  <si>
    <t>Net profit margin</t>
  </si>
  <si>
    <t>Receivables collection period (days)</t>
  </si>
  <si>
    <t>days</t>
  </si>
  <si>
    <t>Current ratio</t>
  </si>
  <si>
    <t>1.6 : 1</t>
  </si>
  <si>
    <t>Acid test ratio</t>
  </si>
  <si>
    <t>1.4 : 1</t>
  </si>
  <si>
    <t>Restated operating expenses</t>
  </si>
  <si>
    <t>31,800/52,100</t>
  </si>
  <si>
    <t>19,588/52,100</t>
  </si>
  <si>
    <t>5,700/52,100 x 365 days</t>
  </si>
  <si>
    <t xml:space="preserve"> 1.0 : 1</t>
  </si>
  <si>
    <r>
      <t xml:space="preserve">(12,900 - </t>
    </r>
    <r>
      <rPr>
        <sz val="11"/>
        <color rgb="FFFF0000"/>
        <rFont val="Aptos Narrow"/>
        <family val="2"/>
        <scheme val="minor"/>
      </rPr>
      <t>1,412</t>
    </r>
    <r>
      <rPr>
        <sz val="11"/>
        <color theme="1"/>
        <rFont val="Aptos Narrow"/>
        <family val="2"/>
        <scheme val="minor"/>
      </rPr>
      <t>)/11,600</t>
    </r>
  </si>
  <si>
    <r>
      <t xml:space="preserve">(12,900 - </t>
    </r>
    <r>
      <rPr>
        <sz val="11"/>
        <color rgb="FFFF0000"/>
        <rFont val="Aptos Narrow"/>
        <family val="2"/>
        <scheme val="minor"/>
      </rPr>
      <t>1,412 - 4,900</t>
    </r>
    <r>
      <rPr>
        <sz val="11"/>
        <color theme="1"/>
        <rFont val="Aptos Narrow"/>
        <family val="2"/>
        <scheme val="minor"/>
      </rPr>
      <t>)/11,600</t>
    </r>
  </si>
  <si>
    <t xml:space="preserve"> 0.57 : 1</t>
  </si>
  <si>
    <t>Gearing (debt/ equity)</t>
  </si>
  <si>
    <r>
      <t xml:space="preserve">16,700/(9,000 - </t>
    </r>
    <r>
      <rPr>
        <sz val="11"/>
        <color rgb="FFFF0000"/>
        <rFont val="Aptos Narrow"/>
        <family val="2"/>
        <scheme val="minor"/>
      </rPr>
      <t>1,412</t>
    </r>
    <r>
      <rPr>
        <sz val="11"/>
        <color theme="1"/>
        <rFont val="Aptos Narrow"/>
        <family val="2"/>
        <scheme val="minor"/>
      </rPr>
      <t>)</t>
    </r>
  </si>
  <si>
    <r>
      <rPr>
        <sz val="11"/>
        <color rgb="FFFF0000"/>
        <rFont val="Aptos Narrow"/>
        <family val="2"/>
        <scheme val="minor"/>
      </rPr>
      <t>Less</t>
    </r>
    <r>
      <rPr>
        <sz val="11"/>
        <color theme="1"/>
        <rFont val="Aptos Narrow"/>
        <family val="2"/>
        <scheme val="minor"/>
      </rPr>
      <t>: Restated profit</t>
    </r>
  </si>
  <si>
    <r>
      <rPr>
        <sz val="11"/>
        <color rgb="FFFF0000"/>
        <rFont val="Aptos Narrow"/>
        <family val="2"/>
        <scheme val="minor"/>
      </rPr>
      <t>Less</t>
    </r>
    <r>
      <rPr>
        <sz val="11"/>
        <color theme="1"/>
        <rFont val="Aptos Narrow"/>
        <family val="2"/>
        <scheme val="minor"/>
      </rPr>
      <t>: Rent charge Gamilton</t>
    </r>
  </si>
  <si>
    <r>
      <rPr>
        <sz val="11"/>
        <color rgb="FFFF0000"/>
        <rFont val="Aptos Narrow"/>
        <family val="2"/>
        <scheme val="minor"/>
      </rPr>
      <t>Less</t>
    </r>
    <r>
      <rPr>
        <sz val="11"/>
        <color theme="1"/>
        <rFont val="Aptos Narrow"/>
        <family val="2"/>
        <scheme val="minor"/>
      </rPr>
      <t>: Loss on disposal of non core division</t>
    </r>
  </si>
  <si>
    <r>
      <rPr>
        <sz val="11"/>
        <color rgb="FFFF0000"/>
        <rFont val="Aptos Narrow"/>
        <family val="2"/>
        <scheme val="minor"/>
      </rPr>
      <t>Less</t>
    </r>
    <r>
      <rPr>
        <sz val="11"/>
        <color theme="1"/>
        <rFont val="Aptos Narrow"/>
        <family val="2"/>
        <scheme val="minor"/>
      </rPr>
      <t>: Expenses of the non-core division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</si>
</sst>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206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164" fontId="0" fillId="0" borderId="0" xfId="1" applyNumberFormat="1" applyFont="1"/>
    <xf numFmtId="164" fontId="3" fillId="0" borderId="0" xfId="1" applyNumberFormat="1" applyFont="1"/>
    <xf numFmtId="0" fontId="0" fillId="0" borderId="0" xfId="0" quotePrefix="1"/>
    <xf numFmtId="164" fontId="0" fillId="0" borderId="1" xfId="1" applyNumberFormat="1" applyFont="1" applyBorder="1"/>
    <xf numFmtId="164" fontId="2" fillId="0" borderId="1" xfId="1" applyNumberFormat="1" applyFont="1" applyBorder="1"/>
    <xf numFmtId="164" fontId="2" fillId="0" borderId="0" xfId="1" applyNumberFormat="1" applyFont="1"/>
    <xf numFmtId="0" fontId="3" fillId="2" borderId="0" xfId="0" applyFont="1" applyFill="1"/>
    <xf numFmtId="0" fontId="0" fillId="2" borderId="0" xfId="0" applyFill="1"/>
    <xf numFmtId="164" fontId="0" fillId="2" borderId="0" xfId="1" applyNumberFormat="1" applyFont="1" applyFill="1"/>
    <xf numFmtId="0" fontId="0" fillId="0" borderId="0" xfId="0" applyAlignment="1">
      <alignment horizontal="right"/>
    </xf>
    <xf numFmtId="9" fontId="0" fillId="0" borderId="0" xfId="2" applyFont="1"/>
    <xf numFmtId="9" fontId="0" fillId="2" borderId="0" xfId="2" applyFont="1" applyFill="1" applyAlignment="1">
      <alignment horizontal="center"/>
    </xf>
    <xf numFmtId="164" fontId="0" fillId="2" borderId="0" xfId="1" applyNumberFormat="1" applyFont="1" applyFill="1" applyAlignment="1">
      <alignment horizontal="center"/>
    </xf>
    <xf numFmtId="43" fontId="0" fillId="0" borderId="0" xfId="1" applyFont="1"/>
    <xf numFmtId="164" fontId="3" fillId="2" borderId="0" xfId="1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EF4C0-B571-4BD0-87F6-F6F57CD7E2FB}">
  <dimension ref="A1:H37"/>
  <sheetViews>
    <sheetView tabSelected="1" topLeftCell="A3" zoomScale="110" zoomScaleNormal="110" workbookViewId="0">
      <selection activeCell="A15" sqref="A15"/>
    </sheetView>
  </sheetViews>
  <sheetFormatPr defaultRowHeight="14.5" x14ac:dyDescent="0.35"/>
  <cols>
    <col min="1" max="1" width="9.453125" customWidth="1"/>
    <col min="2" max="2" width="20.26953125" customWidth="1"/>
    <col min="4" max="5" width="10.08984375" customWidth="1"/>
    <col min="6" max="6" width="9.1796875" bestFit="1" customWidth="1"/>
    <col min="7" max="7" width="8.7265625" style="2"/>
  </cols>
  <sheetData>
    <row r="1" spans="1:7" x14ac:dyDescent="0.35">
      <c r="A1" s="1" t="s">
        <v>0</v>
      </c>
    </row>
    <row r="2" spans="1:7" x14ac:dyDescent="0.35">
      <c r="A2" s="8" t="s">
        <v>1</v>
      </c>
      <c r="B2" s="9"/>
      <c r="C2" s="9"/>
      <c r="D2" s="9"/>
      <c r="E2" s="9"/>
      <c r="F2" s="9"/>
      <c r="G2" s="10"/>
    </row>
    <row r="3" spans="1:7" x14ac:dyDescent="0.35">
      <c r="G3" s="3" t="s">
        <v>3</v>
      </c>
    </row>
    <row r="4" spans="1:7" x14ac:dyDescent="0.35">
      <c r="G4" s="3" t="s">
        <v>2</v>
      </c>
    </row>
    <row r="5" spans="1:7" x14ac:dyDescent="0.35">
      <c r="A5" t="s">
        <v>4</v>
      </c>
      <c r="C5" s="4" t="s">
        <v>5</v>
      </c>
      <c r="F5" t="s">
        <v>6</v>
      </c>
      <c r="G5" s="2">
        <f>54200-2100</f>
        <v>52100</v>
      </c>
    </row>
    <row r="6" spans="1:7" x14ac:dyDescent="0.35">
      <c r="A6" t="s">
        <v>7</v>
      </c>
      <c r="C6" s="4" t="s">
        <v>8</v>
      </c>
      <c r="F6" t="s">
        <v>6</v>
      </c>
      <c r="G6" s="6">
        <f>21500-1200</f>
        <v>20300</v>
      </c>
    </row>
    <row r="7" spans="1:7" x14ac:dyDescent="0.35">
      <c r="A7" s="1" t="s">
        <v>9</v>
      </c>
      <c r="B7" s="1"/>
      <c r="C7" s="1"/>
      <c r="D7" s="1"/>
      <c r="E7" s="1"/>
      <c r="F7" s="1"/>
      <c r="G7" s="16">
        <f>G5-G6</f>
        <v>31800</v>
      </c>
    </row>
    <row r="8" spans="1:7" x14ac:dyDescent="0.35">
      <c r="A8" t="s">
        <v>17</v>
      </c>
      <c r="F8" s="1" t="s">
        <v>18</v>
      </c>
      <c r="G8" s="6">
        <f>G20</f>
        <v>12212</v>
      </c>
    </row>
    <row r="9" spans="1:7" x14ac:dyDescent="0.35">
      <c r="A9" s="1" t="s">
        <v>19</v>
      </c>
      <c r="G9" s="16">
        <f>G7-G8</f>
        <v>19588</v>
      </c>
    </row>
    <row r="11" spans="1:7" x14ac:dyDescent="0.35">
      <c r="A11" s="1" t="s">
        <v>10</v>
      </c>
    </row>
    <row r="13" spans="1:7" x14ac:dyDescent="0.35">
      <c r="A13" t="s">
        <v>11</v>
      </c>
      <c r="G13" s="2">
        <v>11700</v>
      </c>
    </row>
    <row r="14" spans="1:7" x14ac:dyDescent="0.35">
      <c r="A14" t="s">
        <v>49</v>
      </c>
      <c r="F14" t="s">
        <v>6</v>
      </c>
      <c r="G14" s="7">
        <f>-700</f>
        <v>-700</v>
      </c>
    </row>
    <row r="15" spans="1:7" x14ac:dyDescent="0.35">
      <c r="A15" t="s">
        <v>48</v>
      </c>
      <c r="F15" t="s">
        <v>6</v>
      </c>
      <c r="G15" s="7">
        <f>-1500</f>
        <v>-1500</v>
      </c>
    </row>
    <row r="16" spans="1:7" x14ac:dyDescent="0.35">
      <c r="A16" t="s">
        <v>13</v>
      </c>
      <c r="F16" t="s">
        <v>12</v>
      </c>
      <c r="G16" s="7">
        <f>-0.01*54200</f>
        <v>-542</v>
      </c>
    </row>
    <row r="17" spans="1:7" x14ac:dyDescent="0.35">
      <c r="A17" t="s">
        <v>14</v>
      </c>
      <c r="F17" t="s">
        <v>12</v>
      </c>
      <c r="G17" s="2">
        <f>0.1*31800</f>
        <v>3180</v>
      </c>
    </row>
    <row r="18" spans="1:7" x14ac:dyDescent="0.35">
      <c r="A18" t="s">
        <v>47</v>
      </c>
      <c r="F18" t="s">
        <v>15</v>
      </c>
      <c r="G18" s="7">
        <f>-46</f>
        <v>-46</v>
      </c>
    </row>
    <row r="19" spans="1:7" x14ac:dyDescent="0.35">
      <c r="A19" t="s">
        <v>16</v>
      </c>
      <c r="F19" t="s">
        <v>15</v>
      </c>
      <c r="G19" s="5">
        <v>120</v>
      </c>
    </row>
    <row r="20" spans="1:7" x14ac:dyDescent="0.35">
      <c r="A20" s="1" t="s">
        <v>36</v>
      </c>
      <c r="G20" s="3">
        <f>SUM(G13:G19)</f>
        <v>12212</v>
      </c>
    </row>
    <row r="22" spans="1:7" x14ac:dyDescent="0.35">
      <c r="A22" s="8" t="s">
        <v>20</v>
      </c>
      <c r="B22" s="9"/>
      <c r="C22" s="9"/>
      <c r="D22" s="9"/>
      <c r="E22" s="9"/>
      <c r="F22" s="9"/>
    </row>
    <row r="24" spans="1:7" x14ac:dyDescent="0.35">
      <c r="B24" t="s">
        <v>21</v>
      </c>
      <c r="G24" s="2">
        <v>21000</v>
      </c>
    </row>
    <row r="25" spans="1:7" x14ac:dyDescent="0.35">
      <c r="B25" t="s">
        <v>46</v>
      </c>
      <c r="F25" t="s">
        <v>22</v>
      </c>
      <c r="G25" s="5">
        <f>G9</f>
        <v>19588</v>
      </c>
    </row>
    <row r="26" spans="1:7" x14ac:dyDescent="0.35">
      <c r="B26" s="1" t="s">
        <v>23</v>
      </c>
      <c r="G26" s="3">
        <f>G25-G24</f>
        <v>-1412</v>
      </c>
    </row>
    <row r="28" spans="1:7" x14ac:dyDescent="0.35">
      <c r="C28" s="11" t="s">
        <v>25</v>
      </c>
      <c r="D28" s="2">
        <v>1412</v>
      </c>
      <c r="E28" s="2"/>
      <c r="F28" s="2"/>
    </row>
    <row r="29" spans="1:7" x14ac:dyDescent="0.35">
      <c r="C29" s="11" t="s">
        <v>24</v>
      </c>
      <c r="D29" s="2"/>
      <c r="E29" s="2"/>
      <c r="F29" s="2">
        <v>1412</v>
      </c>
    </row>
    <row r="31" spans="1:7" x14ac:dyDescent="0.35">
      <c r="C31" s="1" t="s">
        <v>26</v>
      </c>
      <c r="F31" s="1" t="s">
        <v>3</v>
      </c>
      <c r="G31" s="3" t="s">
        <v>27</v>
      </c>
    </row>
    <row r="32" spans="1:7" x14ac:dyDescent="0.35">
      <c r="A32" t="s">
        <v>28</v>
      </c>
      <c r="C32" s="4" t="s">
        <v>37</v>
      </c>
      <c r="F32" s="12">
        <f>31800/52100</f>
        <v>0.61036468330134352</v>
      </c>
      <c r="G32" s="13">
        <v>0.45</v>
      </c>
    </row>
    <row r="33" spans="1:8" x14ac:dyDescent="0.35">
      <c r="A33" t="s">
        <v>29</v>
      </c>
      <c r="C33" s="4" t="s">
        <v>38</v>
      </c>
      <c r="F33" s="12">
        <f>19588/52100</f>
        <v>0.3759692898272553</v>
      </c>
      <c r="G33" s="13">
        <v>0.28000000000000003</v>
      </c>
    </row>
    <row r="34" spans="1:8" x14ac:dyDescent="0.35">
      <c r="A34" t="s">
        <v>30</v>
      </c>
      <c r="C34" s="4" t="s">
        <v>39</v>
      </c>
      <c r="F34" s="2">
        <f>5700/52100*365</f>
        <v>39.932821497120919</v>
      </c>
      <c r="G34" s="14">
        <v>41</v>
      </c>
      <c r="H34" t="s">
        <v>31</v>
      </c>
    </row>
    <row r="35" spans="1:8" x14ac:dyDescent="0.35">
      <c r="A35" t="s">
        <v>32</v>
      </c>
      <c r="C35" s="4" t="s">
        <v>41</v>
      </c>
      <c r="E35" s="2">
        <f>(12900-1412)/11600</f>
        <v>0.9903448275862069</v>
      </c>
      <c r="F35" s="4" t="s">
        <v>40</v>
      </c>
      <c r="G35" s="14" t="s">
        <v>33</v>
      </c>
    </row>
    <row r="36" spans="1:8" x14ac:dyDescent="0.35">
      <c r="A36" t="s">
        <v>34</v>
      </c>
      <c r="C36" s="4" t="s">
        <v>42</v>
      </c>
      <c r="E36" s="15">
        <f>(12900-1412-4900)/11600</f>
        <v>0.56793103448275861</v>
      </c>
      <c r="F36" s="4" t="s">
        <v>43</v>
      </c>
      <c r="G36" s="14" t="s">
        <v>35</v>
      </c>
    </row>
    <row r="37" spans="1:8" x14ac:dyDescent="0.35">
      <c r="A37" t="s">
        <v>44</v>
      </c>
      <c r="C37" s="4" t="s">
        <v>45</v>
      </c>
      <c r="F37" s="12">
        <f>16700/(9000-1412)</f>
        <v>2.2008434370057985</v>
      </c>
      <c r="G37" s="13">
        <v>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Tapiwa Gande</dc:creator>
  <cp:lastModifiedBy>Tapiwa Gande</cp:lastModifiedBy>
  <dcterms:created xsi:type="dcterms:W3CDTF">2026-03-20T10:59:31Z</dcterms:created>
  <dcterms:modified xsi:type="dcterms:W3CDTF">2026-03-20T12:05:19Z</dcterms:modified>
</cp:coreProperties>
</file>