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g629\Downloads\"/>
    </mc:Choice>
  </mc:AlternateContent>
  <xr:revisionPtr revIDLastSave="0" documentId="13_ncr:1_{069964C3-B209-42FC-AB78-9E409E4DC0E6}" xr6:coauthVersionLast="47" xr6:coauthVersionMax="47" xr10:uidLastSave="{00000000-0000-0000-0000-000000000000}"/>
  <bookViews>
    <workbookView xWindow="-120" yWindow="-120" windowWidth="29040" windowHeight="15720" xr2:uid="{E039B620-ABC5-46C0-B54A-55A2D1D84B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2" i="1" l="1"/>
  <c r="T31" i="1"/>
  <c r="N40" i="1"/>
  <c r="Q36" i="1"/>
  <c r="P35" i="1"/>
  <c r="P34" i="1"/>
  <c r="Q33" i="1"/>
  <c r="Q32" i="1"/>
  <c r="Q31" i="1"/>
  <c r="Q25" i="1"/>
  <c r="Q24" i="1"/>
  <c r="Q8" i="1"/>
  <c r="Q20" i="1"/>
  <c r="Q18" i="1"/>
  <c r="Q17" i="1"/>
  <c r="Q16" i="1"/>
  <c r="Q15" i="1"/>
  <c r="Q14" i="1"/>
  <c r="Q6" i="1"/>
  <c r="Q5" i="1"/>
  <c r="Q7" i="1" s="1"/>
  <c r="Q9" i="1" l="1"/>
</calcChain>
</file>

<file path=xl/sharedStrings.xml><?xml version="1.0" encoding="utf-8"?>
<sst xmlns="http://schemas.openxmlformats.org/spreadsheetml/2006/main" count="55" uniqueCount="49">
  <si>
    <t>a) Restated financial information</t>
  </si>
  <si>
    <t>$000</t>
  </si>
  <si>
    <t>20X4</t>
  </si>
  <si>
    <t>Revenue</t>
  </si>
  <si>
    <t>Note i)</t>
  </si>
  <si>
    <t>Cost of sales</t>
  </si>
  <si>
    <t>(54,200 - 2,100)</t>
  </si>
  <si>
    <t>(21,500 - 1,200)</t>
  </si>
  <si>
    <t>Gross Profit</t>
  </si>
  <si>
    <r>
      <rPr>
        <b/>
        <sz val="11"/>
        <color theme="1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Operating expenses</t>
    </r>
  </si>
  <si>
    <t>W1</t>
  </si>
  <si>
    <t>Profit before tax/Operating profit</t>
  </si>
  <si>
    <t>W1 Restatement of operatin expenses</t>
  </si>
  <si>
    <t>As per the Qsn</t>
  </si>
  <si>
    <t>Statement of Profit or Loss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</si>
  <si>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Expenses of the non-core division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</si>
  <si>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loss on sale on of non-core division</t>
    </r>
  </si>
  <si>
    <t>Note ii)</t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</si>
  <si>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Management charges by Gamilton ($54,200 x  1%)</t>
    </r>
  </si>
  <si>
    <r>
      <rPr>
        <sz val="11"/>
        <color rgb="FF0070C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Management charges by Funject ($31,800 x 10%)</t>
    </r>
  </si>
  <si>
    <r>
      <rPr>
        <sz val="11"/>
        <color rgb="FFFF0000"/>
        <rFont val="Aptos Narrow"/>
        <family val="2"/>
        <scheme val="minor"/>
      </rPr>
      <t>Less</t>
    </r>
    <r>
      <rPr>
        <sz val="11"/>
        <color theme="1"/>
        <rFont val="Aptos Narrow"/>
        <family val="2"/>
        <scheme val="minor"/>
      </rPr>
      <t>: Rent charges by Gamilton</t>
    </r>
  </si>
  <si>
    <r>
      <rPr>
        <sz val="11"/>
        <color rgb="FF0070C0"/>
        <rFont val="Aptos Narrow"/>
        <family val="2"/>
        <scheme val="minor"/>
      </rPr>
      <t>Add</t>
    </r>
    <r>
      <rPr>
        <sz val="11"/>
        <color theme="1"/>
        <rFont val="Aptos Narrow"/>
        <family val="2"/>
        <scheme val="minor"/>
      </rPr>
      <t>: Commercial rental</t>
    </r>
  </si>
  <si>
    <t>Note iii)</t>
  </si>
  <si>
    <t>Adjusted operating costs</t>
  </si>
  <si>
    <t>b) Ratios compared to indusrty KPI</t>
  </si>
  <si>
    <t>Restated profit</t>
  </si>
  <si>
    <r>
      <rPr>
        <sz val="11"/>
        <color rgb="FFFF0000"/>
        <rFont val="Aptos Narrow"/>
        <family val="2"/>
        <scheme val="minor"/>
      </rPr>
      <t>Decrease</t>
    </r>
    <r>
      <rPr>
        <sz val="11"/>
        <color theme="1"/>
        <rFont val="Aptos Narrow"/>
        <family val="2"/>
        <scheme val="minor"/>
      </rPr>
      <t xml:space="preserve">/ </t>
    </r>
    <r>
      <rPr>
        <sz val="11"/>
        <color rgb="FF0070C0"/>
        <rFont val="Aptos Narrow"/>
        <family val="2"/>
        <scheme val="minor"/>
      </rPr>
      <t>increase</t>
    </r>
  </si>
  <si>
    <t>Original profit</t>
  </si>
  <si>
    <t>Cr Cash</t>
  </si>
  <si>
    <t>Dr Retained Earnings</t>
  </si>
  <si>
    <t>KPIs</t>
  </si>
  <si>
    <t>Gross Profit Margin</t>
  </si>
  <si>
    <t>Workings</t>
  </si>
  <si>
    <t>Operating Profit Margin</t>
  </si>
  <si>
    <t>Receivables collection period</t>
  </si>
  <si>
    <t>days</t>
  </si>
  <si>
    <t>Current ratio</t>
  </si>
  <si>
    <t>Acid (quick) ratio</t>
  </si>
  <si>
    <t>Gearing (Debt/equity)</t>
  </si>
  <si>
    <t>1.6 : 1</t>
  </si>
  <si>
    <t>1.4 : 1</t>
  </si>
  <si>
    <t>(31,800 / 52,100)</t>
  </si>
  <si>
    <t>(19,588 / 52,100)</t>
  </si>
  <si>
    <t>(5,700 / 52,100 x 365 days)</t>
  </si>
  <si>
    <t>1 : 1</t>
  </si>
  <si>
    <r>
      <t>(12,900 -</t>
    </r>
    <r>
      <rPr>
        <sz val="11"/>
        <color rgb="FFFF0000"/>
        <rFont val="Aptos Narrow"/>
        <family val="2"/>
        <scheme val="minor"/>
      </rPr>
      <t>1,412)</t>
    </r>
    <r>
      <rPr>
        <sz val="11"/>
        <color theme="1"/>
        <rFont val="Aptos Narrow"/>
        <family val="2"/>
        <scheme val="minor"/>
      </rPr>
      <t>/11,600</t>
    </r>
  </si>
  <si>
    <r>
      <t>(12,900 -</t>
    </r>
    <r>
      <rPr>
        <sz val="11"/>
        <color rgb="FFFF0000"/>
        <rFont val="Aptos Narrow"/>
        <family val="2"/>
        <scheme val="minor"/>
      </rPr>
      <t>1,412 - 4,900)</t>
    </r>
    <r>
      <rPr>
        <sz val="11"/>
        <color theme="1"/>
        <rFont val="Aptos Narrow"/>
        <family val="2"/>
        <scheme val="minor"/>
      </rPr>
      <t>/11,600</t>
    </r>
  </si>
  <si>
    <t xml:space="preserve"> 0.57 : 1</t>
  </si>
  <si>
    <t>(16,700/(9,000 - 1,412)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</si>
</sst>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5" formatCode="_-* #,##0_-;\-* #,##0_-;_-* &quot;-&quot;??_-;_-@_-"/>
    <numFmt numFmtId="169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0" fillId="0" borderId="0" xfId="0" quotePrefix="1"/>
    <xf numFmtId="165" fontId="0" fillId="0" borderId="0" xfId="1" applyNumberFormat="1" applyFont="1"/>
    <xf numFmtId="165" fontId="3" fillId="0" borderId="0" xfId="1" applyNumberFormat="1" applyFont="1" applyAlignment="1">
      <alignment horizontal="center"/>
    </xf>
    <xf numFmtId="165" fontId="2" fillId="0" borderId="0" xfId="1" applyNumberFormat="1" applyFont="1"/>
    <xf numFmtId="165" fontId="2" fillId="0" borderId="1" xfId="1" applyNumberFormat="1" applyFont="1" applyBorder="1"/>
    <xf numFmtId="165" fontId="3" fillId="0" borderId="0" xfId="1" applyNumberFormat="1" applyFont="1"/>
    <xf numFmtId="165" fontId="0" fillId="0" borderId="1" xfId="1" applyNumberFormat="1" applyFont="1" applyBorder="1"/>
    <xf numFmtId="165" fontId="3" fillId="2" borderId="0" xfId="1" applyNumberFormat="1" applyFont="1" applyFill="1"/>
    <xf numFmtId="9" fontId="0" fillId="0" borderId="0" xfId="0" applyNumberFormat="1"/>
    <xf numFmtId="9" fontId="0" fillId="2" borderId="0" xfId="0" applyNumberFormat="1" applyFill="1"/>
    <xf numFmtId="0" fontId="0" fillId="2" borderId="0" xfId="0" applyFill="1"/>
    <xf numFmtId="0" fontId="0" fillId="2" borderId="0" xfId="0" applyFill="1" applyAlignment="1">
      <alignment horizontal="center"/>
    </xf>
    <xf numFmtId="9" fontId="0" fillId="0" borderId="0" xfId="2" applyFont="1"/>
    <xf numFmtId="2" fontId="0" fillId="0" borderId="0" xfId="0" applyNumberFormat="1"/>
    <xf numFmtId="169" fontId="0" fillId="0" borderId="0" xfId="0" applyNumberFormat="1"/>
    <xf numFmtId="165" fontId="0" fillId="0" borderId="0" xfId="1" quotePrefix="1" applyNumberFormat="1" applyFont="1" applyAlignment="1">
      <alignment horizontal="center"/>
    </xf>
    <xf numFmtId="0" fontId="3" fillId="3" borderId="0" xfId="0" applyFont="1" applyFill="1"/>
    <xf numFmtId="0" fontId="0" fillId="3" borderId="0" xfId="0" applyFill="1"/>
    <xf numFmtId="165" fontId="3" fillId="3" borderId="0" xfId="1" applyNumberFormat="1" applyFont="1" applyFill="1"/>
    <xf numFmtId="165" fontId="0" fillId="3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53975</xdr:colOff>
      <xdr:row>80</xdr:row>
      <xdr:rowOff>42864</xdr:rowOff>
    </xdr:from>
    <xdr:to>
      <xdr:col>13</xdr:col>
      <xdr:colOff>368300</xdr:colOff>
      <xdr:row>131</xdr:row>
      <xdr:rowOff>101600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50D9DA-4F0E-F8E5-B3DC-A63EFA7FF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975" y="15282864"/>
          <a:ext cx="7756525" cy="9774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</xdr:colOff>
      <xdr:row>0</xdr:row>
      <xdr:rowOff>1</xdr:rowOff>
    </xdr:from>
    <xdr:to>
      <xdr:col>11</xdr:col>
      <xdr:colOff>44450</xdr:colOff>
      <xdr:row>79</xdr:row>
      <xdr:rowOff>152401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03F5B3D-0F64-E570-C6E0-1085493A1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"/>
          <a:ext cx="6750049" cy="15201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F9A-8F21-4377-B7ED-5264FCA889EF}">
  <dimension ref="M1:T40"/>
  <sheetViews>
    <sheetView tabSelected="1" zoomScale="150" zoomScaleNormal="150" workbookViewId="0">
      <selection activeCell="N10" sqref="N10"/>
    </sheetView>
  </sheetViews>
  <sheetFormatPr defaultRowHeight="15" x14ac:dyDescent="0.25"/>
  <cols>
    <col min="12" max="12" width="0.7109375" customWidth="1"/>
    <col min="13" max="13" width="10.28515625" customWidth="1"/>
    <col min="15" max="15" width="23.42578125" customWidth="1"/>
    <col min="16" max="16" width="9.7109375" bestFit="1" customWidth="1"/>
    <col min="17" max="17" width="11.28515625" style="3" bestFit="1" customWidth="1"/>
  </cols>
  <sheetData>
    <row r="1" spans="13:17" x14ac:dyDescent="0.25">
      <c r="M1" s="1" t="s">
        <v>0</v>
      </c>
    </row>
    <row r="3" spans="13:17" x14ac:dyDescent="0.25">
      <c r="M3" s="19" t="s">
        <v>14</v>
      </c>
      <c r="N3" s="19"/>
      <c r="O3" s="19"/>
      <c r="Q3" s="4" t="s">
        <v>2</v>
      </c>
    </row>
    <row r="4" spans="13:17" x14ac:dyDescent="0.25">
      <c r="Q4" s="4" t="s">
        <v>1</v>
      </c>
    </row>
    <row r="5" spans="13:17" x14ac:dyDescent="0.25">
      <c r="M5" t="s">
        <v>3</v>
      </c>
      <c r="N5" s="2" t="s">
        <v>6</v>
      </c>
      <c r="P5" s="1" t="s">
        <v>4</v>
      </c>
      <c r="Q5" s="3">
        <f>54200-2100</f>
        <v>52100</v>
      </c>
    </row>
    <row r="6" spans="13:17" x14ac:dyDescent="0.25">
      <c r="M6" t="s">
        <v>5</v>
      </c>
      <c r="N6" s="2" t="s">
        <v>7</v>
      </c>
      <c r="P6" s="1" t="s">
        <v>4</v>
      </c>
      <c r="Q6" s="6">
        <f>21500-1200</f>
        <v>20300</v>
      </c>
    </row>
    <row r="7" spans="13:17" x14ac:dyDescent="0.25">
      <c r="M7" s="1" t="s">
        <v>8</v>
      </c>
      <c r="P7" s="1"/>
      <c r="Q7" s="7">
        <f>Q5-Q6</f>
        <v>31800</v>
      </c>
    </row>
    <row r="8" spans="13:17" x14ac:dyDescent="0.25">
      <c r="M8" t="s">
        <v>9</v>
      </c>
      <c r="P8" s="1" t="s">
        <v>10</v>
      </c>
      <c r="Q8" s="8">
        <f>Q20</f>
        <v>12212</v>
      </c>
    </row>
    <row r="9" spans="13:17" x14ac:dyDescent="0.25">
      <c r="M9" s="1" t="s">
        <v>11</v>
      </c>
      <c r="Q9" s="9">
        <f>Q7-Q8</f>
        <v>19588</v>
      </c>
    </row>
    <row r="12" spans="13:17" x14ac:dyDescent="0.25">
      <c r="M12" s="18" t="s">
        <v>12</v>
      </c>
      <c r="N12" s="19"/>
      <c r="O12" s="19"/>
      <c r="P12" s="19"/>
      <c r="Q12" s="21"/>
    </row>
    <row r="13" spans="13:17" x14ac:dyDescent="0.25">
      <c r="M13" t="s">
        <v>13</v>
      </c>
      <c r="Q13" s="3">
        <v>11700</v>
      </c>
    </row>
    <row r="14" spans="13:17" x14ac:dyDescent="0.25">
      <c r="M14" t="s">
        <v>15</v>
      </c>
      <c r="P14" s="1" t="s">
        <v>4</v>
      </c>
      <c r="Q14" s="5">
        <f>-700</f>
        <v>-700</v>
      </c>
    </row>
    <row r="15" spans="13:17" x14ac:dyDescent="0.25">
      <c r="M15" t="s">
        <v>16</v>
      </c>
      <c r="P15" s="1" t="s">
        <v>4</v>
      </c>
      <c r="Q15" s="5">
        <f>-1500</f>
        <v>-1500</v>
      </c>
    </row>
    <row r="16" spans="13:17" x14ac:dyDescent="0.25">
      <c r="M16" t="s">
        <v>18</v>
      </c>
      <c r="P16" s="1" t="s">
        <v>17</v>
      </c>
      <c r="Q16" s="5">
        <f>-54200*0.01</f>
        <v>-542</v>
      </c>
    </row>
    <row r="17" spans="13:20" x14ac:dyDescent="0.25">
      <c r="M17" t="s">
        <v>19</v>
      </c>
      <c r="P17" s="1" t="s">
        <v>17</v>
      </c>
      <c r="Q17" s="3">
        <f>31800*0.1</f>
        <v>3180</v>
      </c>
    </row>
    <row r="18" spans="13:20" x14ac:dyDescent="0.25">
      <c r="M18" t="s">
        <v>20</v>
      </c>
      <c r="P18" s="1" t="s">
        <v>22</v>
      </c>
      <c r="Q18" s="5">
        <f>-46</f>
        <v>-46</v>
      </c>
    </row>
    <row r="19" spans="13:20" x14ac:dyDescent="0.25">
      <c r="M19" t="s">
        <v>21</v>
      </c>
      <c r="P19" s="1" t="s">
        <v>22</v>
      </c>
      <c r="Q19" s="8">
        <v>120</v>
      </c>
    </row>
    <row r="20" spans="13:20" x14ac:dyDescent="0.25">
      <c r="M20" s="1" t="s">
        <v>23</v>
      </c>
      <c r="Q20" s="7">
        <f>SUM(Q13:Q19)</f>
        <v>12212</v>
      </c>
    </row>
    <row r="22" spans="13:20" x14ac:dyDescent="0.25">
      <c r="M22" s="1" t="s">
        <v>24</v>
      </c>
    </row>
    <row r="23" spans="13:20" x14ac:dyDescent="0.25">
      <c r="N23" t="s">
        <v>27</v>
      </c>
      <c r="Q23" s="3">
        <v>21000</v>
      </c>
    </row>
    <row r="24" spans="13:20" x14ac:dyDescent="0.25">
      <c r="N24" t="s">
        <v>25</v>
      </c>
      <c r="Q24" s="8">
        <f>Q9</f>
        <v>19588</v>
      </c>
    </row>
    <row r="25" spans="13:20" x14ac:dyDescent="0.25">
      <c r="N25" t="s">
        <v>26</v>
      </c>
      <c r="Q25" s="5">
        <f>Q23-Q24</f>
        <v>1412</v>
      </c>
    </row>
    <row r="27" spans="13:20" x14ac:dyDescent="0.25">
      <c r="O27" t="s">
        <v>29</v>
      </c>
      <c r="P27" s="3">
        <v>1412</v>
      </c>
    </row>
    <row r="28" spans="13:20" x14ac:dyDescent="0.25">
      <c r="O28" t="s">
        <v>28</v>
      </c>
      <c r="P28" s="3">
        <v>1412</v>
      </c>
    </row>
    <row r="30" spans="13:20" x14ac:dyDescent="0.25">
      <c r="O30" s="18" t="s">
        <v>32</v>
      </c>
      <c r="P30" s="19"/>
      <c r="Q30" s="20" t="s">
        <v>2</v>
      </c>
      <c r="R30" s="18" t="s">
        <v>30</v>
      </c>
    </row>
    <row r="31" spans="13:20" x14ac:dyDescent="0.25">
      <c r="M31" t="s">
        <v>31</v>
      </c>
      <c r="O31" s="2" t="s">
        <v>41</v>
      </c>
      <c r="Q31" s="14">
        <f>31800/52100</f>
        <v>0.61036468330134352</v>
      </c>
      <c r="R31" s="11">
        <v>0.45</v>
      </c>
      <c r="T31" s="10">
        <f>Q31-R31</f>
        <v>0.16036468330134351</v>
      </c>
    </row>
    <row r="32" spans="13:20" x14ac:dyDescent="0.25">
      <c r="M32" t="s">
        <v>33</v>
      </c>
      <c r="O32" s="2" t="s">
        <v>42</v>
      </c>
      <c r="Q32" s="14">
        <f>19588/52100</f>
        <v>0.3759692898272553</v>
      </c>
      <c r="R32" s="11">
        <v>0.28000000000000003</v>
      </c>
      <c r="T32" s="10">
        <f>Q32-R32</f>
        <v>9.5969289827255277E-2</v>
      </c>
    </row>
    <row r="33" spans="13:19" x14ac:dyDescent="0.25">
      <c r="M33" t="s">
        <v>34</v>
      </c>
      <c r="O33" s="2" t="s">
        <v>43</v>
      </c>
      <c r="Q33" s="3">
        <f>5700/52100*365</f>
        <v>39.932821497120919</v>
      </c>
      <c r="R33" s="12">
        <v>41</v>
      </c>
      <c r="S33" t="s">
        <v>35</v>
      </c>
    </row>
    <row r="34" spans="13:19" x14ac:dyDescent="0.25">
      <c r="M34" t="s">
        <v>36</v>
      </c>
      <c r="O34" s="2" t="s">
        <v>45</v>
      </c>
      <c r="P34" s="16">
        <f>(12900-1412)/11600</f>
        <v>0.9903448275862069</v>
      </c>
      <c r="Q34" s="17" t="s">
        <v>44</v>
      </c>
      <c r="R34" s="13" t="s">
        <v>39</v>
      </c>
    </row>
    <row r="35" spans="13:19" x14ac:dyDescent="0.25">
      <c r="M35" t="s">
        <v>37</v>
      </c>
      <c r="O35" s="2" t="s">
        <v>46</v>
      </c>
      <c r="P35" s="15">
        <f>(12900-1412-4900)/11600</f>
        <v>0.56793103448275861</v>
      </c>
      <c r="Q35" s="17" t="s">
        <v>47</v>
      </c>
      <c r="R35" s="13" t="s">
        <v>40</v>
      </c>
    </row>
    <row r="36" spans="13:19" x14ac:dyDescent="0.25">
      <c r="M36" t="s">
        <v>38</v>
      </c>
      <c r="O36" s="2" t="s">
        <v>48</v>
      </c>
      <c r="Q36" s="14">
        <f>16700/(9000-1412)</f>
        <v>2.2008434370057985</v>
      </c>
      <c r="R36" s="11">
        <v>2.4</v>
      </c>
    </row>
    <row r="37" spans="13:19" x14ac:dyDescent="0.25">
      <c r="R37" s="3"/>
    </row>
    <row r="38" spans="13:19" x14ac:dyDescent="0.25">
      <c r="R38" s="3"/>
    </row>
    <row r="40" spans="13:19" x14ac:dyDescent="0.25">
      <c r="N40" s="14">
        <f>32700/54200</f>
        <v>0.60332103321033215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Tapiwa Gande</dc:creator>
  <cp:lastModifiedBy>Tapiwa Gande</cp:lastModifiedBy>
  <dcterms:created xsi:type="dcterms:W3CDTF">2026-03-16T15:57:25Z</dcterms:created>
  <dcterms:modified xsi:type="dcterms:W3CDTF">2026-03-16T17:16:10Z</dcterms:modified>
</cp:coreProperties>
</file>