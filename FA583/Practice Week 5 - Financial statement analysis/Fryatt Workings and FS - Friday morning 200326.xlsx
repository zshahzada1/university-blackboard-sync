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g629\Downloads\"/>
    </mc:Choice>
  </mc:AlternateContent>
  <xr:revisionPtr revIDLastSave="0" documentId="8_{1C775F87-79DE-482A-99C3-645AFB452FB6}" xr6:coauthVersionLast="47" xr6:coauthVersionMax="47" xr10:uidLastSave="{00000000-0000-0000-0000-000000000000}"/>
  <bookViews>
    <workbookView xWindow="-110" yWindow="-110" windowWidth="19420" windowHeight="10300" xr2:uid="{42192B8A-0D11-4ABF-9A6F-6A09DBC8C5EE}"/>
  </bookViews>
  <sheets>
    <sheet name="Question" sheetId="1" r:id="rId1"/>
    <sheet name="Fryatt - Workings &amp; FS Template" sheetId="3" r:id="rId2"/>
  </sheets>
  <definedNames>
    <definedName name="_xlnm.Print_Area" localSheetId="1">'Fryatt - Workings &amp; FS Template'!$A$1:$K$49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4" i="3" l="1"/>
  <c r="K43" i="3"/>
  <c r="K45" i="3" s="1"/>
  <c r="K38" i="3"/>
  <c r="K33" i="3"/>
  <c r="K34" i="3" s="1"/>
  <c r="K19" i="3"/>
  <c r="K18" i="3"/>
  <c r="K17" i="3"/>
  <c r="K4" i="3"/>
  <c r="K5" i="3" s="1"/>
  <c r="K8" i="3" s="1"/>
  <c r="K10" i="3" s="1"/>
  <c r="K12" i="3" s="1"/>
  <c r="K9" i="3"/>
  <c r="C21" i="1"/>
  <c r="B21" i="1"/>
  <c r="K26" i="3"/>
  <c r="F10" i="3"/>
  <c r="K39" i="3"/>
  <c r="F16" i="3"/>
  <c r="F15" i="3"/>
  <c r="F8" i="3"/>
  <c r="C3" i="3"/>
  <c r="D3" i="3" s="1"/>
  <c r="F3" i="3" s="1"/>
  <c r="B4" i="3" s="1"/>
  <c r="C4" i="3" s="1"/>
  <c r="K48" i="3" l="1"/>
  <c r="K20" i="3"/>
  <c r="K28" i="3" s="1"/>
  <c r="F19" i="3"/>
  <c r="D4" i="3"/>
  <c r="F4" i="3" s="1"/>
</calcChain>
</file>

<file path=xl/sharedStrings.xml><?xml version="1.0" encoding="utf-8"?>
<sst xmlns="http://schemas.openxmlformats.org/spreadsheetml/2006/main" count="118" uniqueCount="93">
  <si>
    <t>Bank loan</t>
  </si>
  <si>
    <t>Yr</t>
  </si>
  <si>
    <t>Interest @10%</t>
  </si>
  <si>
    <t>Total</t>
  </si>
  <si>
    <t>Payment</t>
  </si>
  <si>
    <t>Right of use asset</t>
  </si>
  <si>
    <t>W1  Lease</t>
  </si>
  <si>
    <t>Total liability</t>
  </si>
  <si>
    <t>Non-current liablity</t>
  </si>
  <si>
    <t>Current liablity</t>
  </si>
  <si>
    <t>W2 - Cost of sales</t>
  </si>
  <si>
    <r>
      <t xml:space="preserve">Depr - right of use asset </t>
    </r>
    <r>
      <rPr>
        <b/>
        <sz val="11"/>
        <color theme="1"/>
        <rFont val="Aptos Narrow"/>
        <family val="2"/>
        <scheme val="minor"/>
      </rPr>
      <t>(W1</t>
    </r>
    <r>
      <rPr>
        <sz val="11"/>
        <color theme="1"/>
        <rFont val="Aptos Narrow"/>
        <family val="2"/>
        <scheme val="minor"/>
      </rPr>
      <t>)</t>
    </r>
  </si>
  <si>
    <t>Dr</t>
  </si>
  <si>
    <t>Cr</t>
  </si>
  <si>
    <t>Tax payable</t>
  </si>
  <si>
    <t xml:space="preserve"> Tax expense</t>
  </si>
  <si>
    <t>Sales</t>
  </si>
  <si>
    <t>W1</t>
  </si>
  <si>
    <t>Gross Profit</t>
  </si>
  <si>
    <t>Distribution expenses</t>
  </si>
  <si>
    <t>Administration expenses</t>
  </si>
  <si>
    <t>W2</t>
  </si>
  <si>
    <t>Tax</t>
  </si>
  <si>
    <t>Property</t>
  </si>
  <si>
    <t>Receivables</t>
  </si>
  <si>
    <t>Bank</t>
  </si>
  <si>
    <t>Stock</t>
  </si>
  <si>
    <t>Share Capital</t>
  </si>
  <si>
    <t>Share Premium</t>
  </si>
  <si>
    <t>Retained Earnings</t>
  </si>
  <si>
    <t>Lease liability</t>
  </si>
  <si>
    <t>Payables</t>
  </si>
  <si>
    <t>Current liabilities</t>
  </si>
  <si>
    <t>Non-current liabilities</t>
  </si>
  <si>
    <t>Equity</t>
  </si>
  <si>
    <t>Current assets</t>
  </si>
  <si>
    <t>Non-current assets</t>
  </si>
  <si>
    <t>TOTAL EQUITY &amp; LIABILITIES</t>
  </si>
  <si>
    <t>TOTAL ASSETS</t>
  </si>
  <si>
    <t>72,000/4yrs</t>
  </si>
  <si>
    <t>W2b</t>
  </si>
  <si>
    <t>FRYATT</t>
  </si>
  <si>
    <r>
      <rPr>
        <sz val="11"/>
        <color rgb="FFFF0000"/>
        <rFont val="Aptos Narrow"/>
        <family val="2"/>
        <scheme val="minor"/>
      </rPr>
      <t>Less</t>
    </r>
    <r>
      <rPr>
        <sz val="11"/>
        <color theme="1"/>
        <rFont val="Aptos Narrow"/>
        <family val="2"/>
        <scheme val="minor"/>
      </rPr>
      <t xml:space="preserve">: Cost Of Sales </t>
    </r>
  </si>
  <si>
    <t>Profit Before Interest &amp; Tax</t>
  </si>
  <si>
    <t>Profit Before Tax</t>
  </si>
  <si>
    <t>Profit After Tax</t>
  </si>
  <si>
    <t xml:space="preserve">Right-Of-Use asset </t>
  </si>
  <si>
    <t>Plant &amp; Equipment</t>
  </si>
  <si>
    <t>Closing liability</t>
  </si>
  <si>
    <t>Opening Liability</t>
  </si>
  <si>
    <t>As per Question</t>
  </si>
  <si>
    <t>Depreciation = Plant &amp; equip (140K - 48.6K) x 20%</t>
  </si>
  <si>
    <t>The following trial balance relates to Fryatt at 31 May 20X7</t>
  </si>
  <si>
    <t>$</t>
  </si>
  <si>
    <t>Revenue</t>
  </si>
  <si>
    <t>Cost of sales</t>
  </si>
  <si>
    <t>Distribution costs</t>
  </si>
  <si>
    <t>Loan interest paid</t>
  </si>
  <si>
    <t>Property – cost</t>
  </si>
  <si>
    <t>Property – depreciation at 1 June 20X6</t>
  </si>
  <si>
    <t>Plant and equipment - cost</t>
  </si>
  <si>
    <t>Plant and equipment – depreciation at 1 June 20X6</t>
  </si>
  <si>
    <t>Trade receivables</t>
  </si>
  <si>
    <t>Inventory – 31 May 20X7</t>
  </si>
  <si>
    <t>Trade payables</t>
  </si>
  <si>
    <t>Ordinary shares $1</t>
  </si>
  <si>
    <t>Share premium</t>
  </si>
  <si>
    <t>Bank loan (repayable 31 December 20X9)</t>
  </si>
  <si>
    <t>Retained earnings at 1 June 20X6</t>
  </si>
  <si>
    <t>The following notes are relevant:</t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</si>
  <si>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Aptos"/>
        <family val="2"/>
      </rPr>
      <t>Owned plant and equipment is to be depreciated on the reducing balance basis at a rate of 20% per annum. The property cost includes land at cost of $60,000. The building is depreciated over 30 years on a straight basis. All depreciation is charged to cost of sales.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</si>
  <si>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Aptos"/>
        <family val="2"/>
      </rPr>
      <t>The directors have estimated the provision for income tax for the year to 31 May 20X7 at $7,200.</t>
    </r>
  </si>
  <si>
    <r>
      <t>REQUIRED</t>
    </r>
    <r>
      <rPr>
        <sz val="11"/>
        <color theme="1"/>
        <rFont val="Aptos"/>
        <family val="2"/>
      </rPr>
      <t>:</t>
    </r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</si>
  <si>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Aptos"/>
        <family val="2"/>
      </rPr>
      <t>Prepare a statement of profit and loss for Fryatt for the year to 31 May 20X7.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</si>
  <si>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Aptos"/>
        <family val="2"/>
      </rPr>
      <t>Prepare a statement of financial position at that date.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</si>
  <si>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Aptos"/>
        <family val="2"/>
      </rPr>
      <t>Both 1 &amp; 2 above should be in a form suitable for presentation to the shareholders and in accordance with the requirements of IFRS standards.</t>
    </r>
  </si>
  <si>
    <r>
      <rPr>
        <sz val="11"/>
        <color rgb="FFFF0000"/>
        <rFont val="Aptos Narrow"/>
        <family val="2"/>
        <scheme val="minor"/>
      </rPr>
      <t>Error</t>
    </r>
    <r>
      <rPr>
        <sz val="11"/>
        <color theme="1"/>
        <rFont val="Aptos Narrow"/>
        <family val="2"/>
        <scheme val="minor"/>
      </rPr>
      <t xml:space="preserve"> - lease</t>
    </r>
  </si>
  <si>
    <r>
      <t xml:space="preserve">Depreciation </t>
    </r>
    <r>
      <rPr>
        <b/>
        <sz val="11"/>
        <color rgb="FF0070C0"/>
        <rFont val="Aptos Narrow"/>
        <family val="2"/>
        <scheme val="minor"/>
      </rPr>
      <t>#</t>
    </r>
  </si>
  <si>
    <t>Adjusted Cost of Sales</t>
  </si>
  <si>
    <t>Statement of Financial Position as at 31 May 20X7</t>
  </si>
  <si>
    <r>
      <rPr>
        <b/>
        <i/>
        <sz val="11"/>
        <color rgb="FF0070C0"/>
        <rFont val="Aptos Narrow"/>
        <family val="2"/>
        <scheme val="minor"/>
      </rPr>
      <t>#</t>
    </r>
    <r>
      <rPr>
        <i/>
        <sz val="11"/>
        <color rgb="FF0070C0"/>
        <rFont val="Aptos Narrow"/>
        <family val="2"/>
        <scheme val="minor"/>
      </rPr>
      <t xml:space="preserve"> (used lower of useful life (6 yrs) and lease term (4yrs)) - IFRS16</t>
    </r>
  </si>
  <si>
    <t>Income statement for the year ended 31 May 20X7</t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</si>
  <si>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Aptos"/>
        <family val="2"/>
      </rPr>
      <t xml:space="preserve">On 1 June 20X6 Fryatt commenced using an item of plant and machinery under a lease agreement, with </t>
    </r>
    <r>
      <rPr>
        <b/>
        <sz val="11"/>
        <color theme="1"/>
        <rFont val="Aptos"/>
        <family val="2"/>
      </rPr>
      <t xml:space="preserve">three </t>
    </r>
    <r>
      <rPr>
        <sz val="11"/>
        <color theme="1"/>
        <rFont val="Aptos"/>
        <family val="2"/>
      </rPr>
      <t xml:space="preserve">annual payments of $29,000. The first payment was made on 31 May 20X7 and has been charged to cost of sales. The present value of the lease payments at 1 June 20X6 was $72,000. Under the terms of the lease, Fryatt has the option to extend the lease indefinitely at a reduced rental at the end of the 3 years. The plant has an estimated useful life of </t>
    </r>
    <r>
      <rPr>
        <b/>
        <sz val="11"/>
        <color theme="1"/>
        <rFont val="Aptos"/>
        <family val="2"/>
      </rPr>
      <t>six years</t>
    </r>
    <r>
      <rPr>
        <sz val="11"/>
        <color theme="1"/>
        <rFont val="Aptos"/>
        <family val="2"/>
      </rPr>
      <t>, with a negligible value at the end of this period. The rate of interest implicit in the lease is 10%.</t>
    </r>
  </si>
  <si>
    <t>Interest (7,200 +  6,800)</t>
  </si>
  <si>
    <t>P&amp;L</t>
  </si>
  <si>
    <t>P&amp;L adjusted</t>
  </si>
  <si>
    <t>Depreciation = Property (Building) (240K - 60K)/ 30 years</t>
  </si>
  <si>
    <t>BS</t>
  </si>
  <si>
    <t>(240,000 - 40,000 - 6,000)</t>
  </si>
  <si>
    <t>(140,000-48,600-18,280)</t>
  </si>
  <si>
    <t>(72,000-18,000)</t>
  </si>
  <si>
    <t>(15,500 + 236,120)</t>
  </si>
  <si>
    <t>See Income Statement (P&amp;L)]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</si>
</sst>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sz val="7"/>
      <color theme="1"/>
      <name val="Times New Roman"/>
      <family val="1"/>
    </font>
    <font>
      <b/>
      <sz val="11"/>
      <color rgb="FF0070C0"/>
      <name val="Aptos Narrow"/>
      <family val="2"/>
      <scheme val="minor"/>
    </font>
    <font>
      <b/>
      <i/>
      <sz val="11"/>
      <color rgb="FF0070C0"/>
      <name val="Aptos Narrow"/>
      <family val="2"/>
      <scheme val="minor"/>
    </font>
    <font>
      <i/>
      <sz val="11"/>
      <color rgb="FF0070C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1">
    <xf numFmtId="0" fontId="0" fillId="0" borderId="0" xfId="0"/>
    <xf numFmtId="0" fontId="3" fillId="0" borderId="0" xfId="0" applyFont="1"/>
    <xf numFmtId="0" fontId="0" fillId="0" borderId="0" xfId="0" applyAlignment="1">
      <alignment vertical="center" wrapText="1"/>
    </xf>
    <xf numFmtId="0" fontId="0" fillId="0" borderId="0" xfId="0" quotePrefix="1"/>
    <xf numFmtId="164" fontId="0" fillId="0" borderId="0" xfId="1" applyNumberFormat="1" applyFont="1"/>
    <xf numFmtId="164" fontId="3" fillId="0" borderId="0" xfId="1" applyNumberFormat="1" applyFont="1"/>
    <xf numFmtId="0" fontId="3" fillId="2" borderId="0" xfId="0" applyFont="1" applyFill="1"/>
    <xf numFmtId="0" fontId="0" fillId="2" borderId="0" xfId="0" applyFill="1"/>
    <xf numFmtId="164" fontId="0" fillId="2" borderId="0" xfId="1" applyNumberFormat="1" applyFont="1" applyFill="1"/>
    <xf numFmtId="0" fontId="3" fillId="3" borderId="0" xfId="0" applyFont="1" applyFill="1"/>
    <xf numFmtId="0" fontId="0" fillId="3" borderId="0" xfId="0" applyFill="1"/>
    <xf numFmtId="164" fontId="0" fillId="3" borderId="0" xfId="1" applyNumberFormat="1" applyFont="1" applyFill="1"/>
    <xf numFmtId="164" fontId="0" fillId="0" borderId="2" xfId="1" applyNumberFormat="1" applyFont="1" applyBorder="1"/>
    <xf numFmtId="164" fontId="1" fillId="3" borderId="3" xfId="1" applyNumberFormat="1" applyFont="1" applyFill="1" applyBorder="1"/>
    <xf numFmtId="164" fontId="3" fillId="3" borderId="3" xfId="1" applyNumberFormat="1" applyFont="1" applyFill="1" applyBorder="1"/>
    <xf numFmtId="164" fontId="0" fillId="0" borderId="0" xfId="1" applyNumberFormat="1" applyFont="1" applyAlignment="1"/>
    <xf numFmtId="164" fontId="3" fillId="0" borderId="0" xfId="1" applyNumberFormat="1" applyFont="1" applyAlignment="1"/>
    <xf numFmtId="164" fontId="3" fillId="0" borderId="2" xfId="1" applyNumberFormat="1" applyFont="1" applyBorder="1" applyAlignment="1"/>
    <xf numFmtId="164" fontId="2" fillId="0" borderId="0" xfId="1" applyNumberFormat="1" applyFont="1"/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right" vertical="center" wrapText="1"/>
    </xf>
    <xf numFmtId="3" fontId="4" fillId="0" borderId="1" xfId="0" applyNumberFormat="1" applyFont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vertical="center"/>
    </xf>
    <xf numFmtId="0" fontId="9" fillId="0" borderId="0" xfId="0" applyFont="1"/>
    <xf numFmtId="0" fontId="3" fillId="2" borderId="1" xfId="0" applyFont="1" applyFill="1" applyBorder="1"/>
    <xf numFmtId="0" fontId="3" fillId="2" borderId="1" xfId="0" applyFont="1" applyFill="1" applyBorder="1" applyAlignment="1">
      <alignment wrapText="1"/>
    </xf>
    <xf numFmtId="0" fontId="0" fillId="0" borderId="1" xfId="0" applyBorder="1"/>
    <xf numFmtId="164" fontId="0" fillId="0" borderId="1" xfId="0" applyNumberFormat="1" applyBorder="1"/>
    <xf numFmtId="0" fontId="3" fillId="2" borderId="0" xfId="0" applyFont="1" applyFill="1" applyAlignment="1">
      <alignment vertical="center"/>
    </xf>
    <xf numFmtId="0" fontId="4" fillId="0" borderId="0" xfId="0" applyFont="1" applyAlignment="1">
      <alignment horizontal="left" vertical="center" wrapText="1"/>
    </xf>
    <xf numFmtId="164" fontId="2" fillId="0" borderId="1" xfId="1" applyNumberFormat="1" applyFont="1" applyBorder="1"/>
    <xf numFmtId="164" fontId="2" fillId="0" borderId="2" xfId="1" applyNumberFormat="1" applyFont="1" applyBorder="1"/>
    <xf numFmtId="0" fontId="0" fillId="0" borderId="0" xfId="0" quotePrefix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1AA9A-5A54-4F37-828C-90EC3AD4E6C0}">
  <dimension ref="A1:E35"/>
  <sheetViews>
    <sheetView tabSelected="1" topLeftCell="A24" workbookViewId="0">
      <selection activeCell="A25" sqref="A25:C25"/>
    </sheetView>
  </sheetViews>
  <sheetFormatPr defaultRowHeight="15" customHeight="1" x14ac:dyDescent="0.35"/>
  <cols>
    <col min="1" max="1" width="45.81640625" customWidth="1"/>
    <col min="2" max="3" width="8" bestFit="1" customWidth="1"/>
  </cols>
  <sheetData>
    <row r="1" spans="1:5" ht="15" customHeight="1" x14ac:dyDescent="0.35">
      <c r="A1" s="30" t="s">
        <v>52</v>
      </c>
      <c r="B1" s="10"/>
      <c r="C1" s="10"/>
    </row>
    <row r="2" spans="1:5" ht="15" customHeight="1" x14ac:dyDescent="0.35">
      <c r="A2" s="25"/>
      <c r="B2" s="29" t="s">
        <v>12</v>
      </c>
      <c r="C2" s="29" t="s">
        <v>12</v>
      </c>
    </row>
    <row r="3" spans="1:5" ht="15" customHeight="1" x14ac:dyDescent="0.35">
      <c r="A3" s="25"/>
      <c r="B3" s="25" t="s">
        <v>53</v>
      </c>
      <c r="C3" s="25" t="s">
        <v>53</v>
      </c>
    </row>
    <row r="4" spans="1:5" ht="15" customHeight="1" x14ac:dyDescent="0.35">
      <c r="A4" s="25" t="s">
        <v>54</v>
      </c>
      <c r="B4" s="26"/>
      <c r="C4" s="27">
        <v>630000</v>
      </c>
      <c r="E4" t="s">
        <v>84</v>
      </c>
    </row>
    <row r="5" spans="1:5" ht="15" customHeight="1" x14ac:dyDescent="0.35">
      <c r="A5" s="25" t="s">
        <v>55</v>
      </c>
      <c r="B5" s="27">
        <v>324000</v>
      </c>
      <c r="C5" s="26"/>
      <c r="E5" t="s">
        <v>85</v>
      </c>
    </row>
    <row r="6" spans="1:5" ht="15" customHeight="1" x14ac:dyDescent="0.35">
      <c r="A6" s="25" t="s">
        <v>56</v>
      </c>
      <c r="B6" s="27">
        <v>19800</v>
      </c>
      <c r="C6" s="26"/>
      <c r="E6" t="s">
        <v>84</v>
      </c>
    </row>
    <row r="7" spans="1:5" ht="15" customHeight="1" x14ac:dyDescent="0.35">
      <c r="A7" s="25" t="s">
        <v>20</v>
      </c>
      <c r="B7" s="27">
        <v>15600</v>
      </c>
      <c r="C7" s="26"/>
      <c r="E7" t="s">
        <v>84</v>
      </c>
    </row>
    <row r="8" spans="1:5" ht="15" customHeight="1" x14ac:dyDescent="0.35">
      <c r="A8" s="25" t="s">
        <v>57</v>
      </c>
      <c r="B8" s="27">
        <v>6800</v>
      </c>
      <c r="C8" s="26"/>
      <c r="E8" t="s">
        <v>84</v>
      </c>
    </row>
    <row r="9" spans="1:5" ht="15" customHeight="1" x14ac:dyDescent="0.35">
      <c r="A9" s="25" t="s">
        <v>58</v>
      </c>
      <c r="B9" s="27">
        <v>240000</v>
      </c>
      <c r="C9" s="26"/>
      <c r="E9" t="s">
        <v>87</v>
      </c>
    </row>
    <row r="10" spans="1:5" ht="15" customHeight="1" x14ac:dyDescent="0.35">
      <c r="A10" s="25" t="s">
        <v>59</v>
      </c>
      <c r="B10" s="26"/>
      <c r="C10" s="27">
        <v>40000</v>
      </c>
      <c r="E10" t="s">
        <v>87</v>
      </c>
    </row>
    <row r="11" spans="1:5" ht="15" customHeight="1" x14ac:dyDescent="0.35">
      <c r="A11" s="25" t="s">
        <v>60</v>
      </c>
      <c r="B11" s="27">
        <v>140000</v>
      </c>
      <c r="C11" s="26"/>
      <c r="E11" t="s">
        <v>87</v>
      </c>
    </row>
    <row r="12" spans="1:5" ht="15" customHeight="1" x14ac:dyDescent="0.35">
      <c r="A12" s="25" t="s">
        <v>61</v>
      </c>
      <c r="B12" s="26"/>
      <c r="C12" s="27">
        <v>48600</v>
      </c>
      <c r="E12" t="s">
        <v>87</v>
      </c>
    </row>
    <row r="13" spans="1:5" ht="15" customHeight="1" x14ac:dyDescent="0.35">
      <c r="A13" s="25" t="s">
        <v>62</v>
      </c>
      <c r="B13" s="27">
        <v>51200</v>
      </c>
      <c r="C13" s="26"/>
      <c r="E13" t="s">
        <v>87</v>
      </c>
    </row>
    <row r="14" spans="1:5" ht="15" customHeight="1" x14ac:dyDescent="0.35">
      <c r="A14" s="25" t="s">
        <v>63</v>
      </c>
      <c r="B14" s="27">
        <v>19600</v>
      </c>
      <c r="C14" s="26"/>
      <c r="E14" t="s">
        <v>87</v>
      </c>
    </row>
    <row r="15" spans="1:5" ht="15" customHeight="1" x14ac:dyDescent="0.35">
      <c r="A15" s="25" t="s">
        <v>25</v>
      </c>
      <c r="B15" s="27">
        <v>4300</v>
      </c>
      <c r="C15" s="26"/>
      <c r="E15" t="s">
        <v>87</v>
      </c>
    </row>
    <row r="16" spans="1:5" ht="15" customHeight="1" x14ac:dyDescent="0.35">
      <c r="A16" s="25" t="s">
        <v>64</v>
      </c>
      <c r="B16" s="26"/>
      <c r="C16" s="27">
        <v>35200</v>
      </c>
      <c r="E16" t="s">
        <v>87</v>
      </c>
    </row>
    <row r="17" spans="1:5" ht="15" customHeight="1" x14ac:dyDescent="0.35">
      <c r="A17" s="25" t="s">
        <v>65</v>
      </c>
      <c r="B17" s="26"/>
      <c r="C17" s="27">
        <v>25000</v>
      </c>
      <c r="E17" t="s">
        <v>87</v>
      </c>
    </row>
    <row r="18" spans="1:5" ht="15" customHeight="1" x14ac:dyDescent="0.35">
      <c r="A18" s="25" t="s">
        <v>66</v>
      </c>
      <c r="B18" s="26"/>
      <c r="C18" s="27">
        <v>7000</v>
      </c>
      <c r="E18" t="s">
        <v>87</v>
      </c>
    </row>
    <row r="19" spans="1:5" ht="15" customHeight="1" x14ac:dyDescent="0.35">
      <c r="A19" s="25" t="s">
        <v>67</v>
      </c>
      <c r="B19" s="26"/>
      <c r="C19" s="27">
        <v>20000</v>
      </c>
      <c r="E19" t="s">
        <v>87</v>
      </c>
    </row>
    <row r="20" spans="1:5" ht="15" customHeight="1" x14ac:dyDescent="0.35">
      <c r="A20" s="25" t="s">
        <v>68</v>
      </c>
      <c r="B20" s="26"/>
      <c r="C20" s="27">
        <v>15500</v>
      </c>
      <c r="E20" t="s">
        <v>87</v>
      </c>
    </row>
    <row r="21" spans="1:5" ht="15" customHeight="1" x14ac:dyDescent="0.35">
      <c r="A21" s="25"/>
      <c r="B21" s="28">
        <f>SUM(B4:B20)</f>
        <v>821300</v>
      </c>
      <c r="C21" s="28">
        <f>SUM(C4:C20)</f>
        <v>821300</v>
      </c>
    </row>
    <row r="22" spans="1:5" ht="15" customHeight="1" x14ac:dyDescent="0.35">
      <c r="A22" s="23"/>
    </row>
    <row r="23" spans="1:5" ht="15" customHeight="1" x14ac:dyDescent="0.35">
      <c r="A23" s="24" t="s">
        <v>69</v>
      </c>
    </row>
    <row r="24" spans="1:5" ht="67" customHeight="1" x14ac:dyDescent="0.35">
      <c r="A24" s="37" t="s">
        <v>70</v>
      </c>
      <c r="B24" s="37"/>
      <c r="C24" s="37"/>
    </row>
    <row r="25" spans="1:5" ht="129.65" customHeight="1" x14ac:dyDescent="0.35">
      <c r="A25" s="37" t="s">
        <v>82</v>
      </c>
      <c r="B25" s="37"/>
      <c r="C25" s="37"/>
    </row>
    <row r="26" spans="1:5" ht="33.65" customHeight="1" x14ac:dyDescent="0.35">
      <c r="A26" s="37" t="s">
        <v>71</v>
      </c>
      <c r="B26" s="37"/>
      <c r="C26" s="37"/>
    </row>
    <row r="27" spans="1:5" ht="15" customHeight="1" x14ac:dyDescent="0.35">
      <c r="A27" s="24" t="s">
        <v>72</v>
      </c>
    </row>
    <row r="28" spans="1:5" ht="28.5" customHeight="1" x14ac:dyDescent="0.35">
      <c r="A28" s="37" t="s">
        <v>73</v>
      </c>
      <c r="B28" s="37"/>
      <c r="C28" s="37"/>
    </row>
    <row r="29" spans="1:5" ht="30.65" customHeight="1" x14ac:dyDescent="0.35">
      <c r="A29" s="37" t="s">
        <v>74</v>
      </c>
      <c r="B29" s="37"/>
      <c r="C29" s="37"/>
    </row>
    <row r="30" spans="1:5" ht="44.15" customHeight="1" x14ac:dyDescent="0.35">
      <c r="A30" s="37" t="s">
        <v>75</v>
      </c>
      <c r="B30" s="37"/>
      <c r="C30" s="37"/>
    </row>
    <row r="31" spans="1:5" ht="15" customHeight="1" x14ac:dyDescent="0.35">
      <c r="A31" s="23"/>
    </row>
    <row r="33" spans="1:2" ht="15" customHeight="1" x14ac:dyDescent="0.35">
      <c r="A33" s="1"/>
      <c r="B33" s="2"/>
    </row>
    <row r="35" spans="1:2" ht="15" customHeight="1" x14ac:dyDescent="0.35">
      <c r="B35" s="2"/>
    </row>
  </sheetData>
  <mergeCells count="6">
    <mergeCell ref="A24:C24"/>
    <mergeCell ref="A25:C25"/>
    <mergeCell ref="A26:C26"/>
    <mergeCell ref="A30:C30"/>
    <mergeCell ref="A28:C28"/>
    <mergeCell ref="A29:C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3B9FC-4ED6-454B-B184-C720B3E96190}">
  <dimension ref="A1:M49"/>
  <sheetViews>
    <sheetView topLeftCell="A33" workbookViewId="0">
      <selection activeCell="B2" sqref="B2:E50"/>
    </sheetView>
  </sheetViews>
  <sheetFormatPr defaultRowHeight="14.5" x14ac:dyDescent="0.35"/>
  <cols>
    <col min="5" max="5" width="10" customWidth="1"/>
    <col min="6" max="6" width="8.54296875" bestFit="1" customWidth="1"/>
    <col min="8" max="8" width="27.26953125" bestFit="1" customWidth="1"/>
    <col min="9" max="9" width="21.54296875" style="21" bestFit="1" customWidth="1"/>
    <col min="11" max="11" width="10.1796875" style="4" bestFit="1" customWidth="1"/>
  </cols>
  <sheetData>
    <row r="1" spans="1:11" x14ac:dyDescent="0.35">
      <c r="A1" s="9" t="s">
        <v>6</v>
      </c>
      <c r="B1" s="10"/>
      <c r="C1" s="10"/>
      <c r="D1" s="10"/>
      <c r="E1" s="10"/>
      <c r="F1" s="10"/>
      <c r="H1" s="9" t="s">
        <v>41</v>
      </c>
      <c r="I1" s="19"/>
      <c r="J1" s="10"/>
      <c r="K1" s="11"/>
    </row>
    <row r="2" spans="1:11" ht="29" x14ac:dyDescent="0.35">
      <c r="A2" s="32" t="s">
        <v>1</v>
      </c>
      <c r="B2" s="33" t="s">
        <v>49</v>
      </c>
      <c r="C2" s="33" t="s">
        <v>2</v>
      </c>
      <c r="D2" s="33" t="s">
        <v>3</v>
      </c>
      <c r="E2" s="33" t="s">
        <v>4</v>
      </c>
      <c r="F2" s="33" t="s">
        <v>48</v>
      </c>
      <c r="H2" s="36" t="s">
        <v>81</v>
      </c>
      <c r="I2" s="20"/>
      <c r="J2" s="7"/>
      <c r="K2" s="8"/>
    </row>
    <row r="3" spans="1:11" x14ac:dyDescent="0.35">
      <c r="A3" s="34">
        <v>1</v>
      </c>
      <c r="B3" s="35">
        <v>72000</v>
      </c>
      <c r="C3" s="35">
        <f>B3*10/100</f>
        <v>7200</v>
      </c>
      <c r="D3" s="35">
        <f>B3+C3</f>
        <v>79200</v>
      </c>
      <c r="E3" s="38">
        <v>29000</v>
      </c>
      <c r="F3" s="35">
        <f>D3-E3</f>
        <v>50200</v>
      </c>
      <c r="H3" t="s">
        <v>16</v>
      </c>
      <c r="K3" s="4">
        <v>630000</v>
      </c>
    </row>
    <row r="4" spans="1:11" x14ac:dyDescent="0.35">
      <c r="A4" s="34">
        <v>2</v>
      </c>
      <c r="B4" s="35">
        <f>F3</f>
        <v>50200</v>
      </c>
      <c r="C4" s="35">
        <f>B4*10/100</f>
        <v>5020</v>
      </c>
      <c r="D4" s="35">
        <f t="shared" ref="D4" si="0">B4+C4</f>
        <v>55220</v>
      </c>
      <c r="E4" s="38">
        <v>29000</v>
      </c>
      <c r="F4" s="35">
        <f t="shared" ref="F4" si="1">D4-E4</f>
        <v>26220</v>
      </c>
      <c r="H4" t="s">
        <v>42</v>
      </c>
      <c r="I4" s="22" t="s">
        <v>21</v>
      </c>
      <c r="K4" s="12">
        <f>F19</f>
        <v>337280</v>
      </c>
    </row>
    <row r="5" spans="1:11" x14ac:dyDescent="0.35">
      <c r="H5" s="1" t="s">
        <v>18</v>
      </c>
      <c r="K5" s="5">
        <f>K3-K4</f>
        <v>292720</v>
      </c>
    </row>
    <row r="6" spans="1:11" x14ac:dyDescent="0.35">
      <c r="A6" t="s">
        <v>7</v>
      </c>
      <c r="F6" s="15">
        <v>50200</v>
      </c>
      <c r="H6" t="s">
        <v>19</v>
      </c>
      <c r="K6" s="4">
        <v>19800</v>
      </c>
    </row>
    <row r="7" spans="1:11" x14ac:dyDescent="0.35">
      <c r="A7" s="1" t="s">
        <v>8</v>
      </c>
      <c r="B7" s="1"/>
      <c r="C7" s="1"/>
      <c r="D7" s="1"/>
      <c r="E7" s="1"/>
      <c r="F7" s="17">
        <v>26220</v>
      </c>
      <c r="H7" t="s">
        <v>20</v>
      </c>
      <c r="K7" s="12">
        <v>15600</v>
      </c>
    </row>
    <row r="8" spans="1:11" x14ac:dyDescent="0.35">
      <c r="A8" s="1" t="s">
        <v>9</v>
      </c>
      <c r="B8" s="1"/>
      <c r="C8" s="1"/>
      <c r="D8" s="1"/>
      <c r="E8" s="1"/>
      <c r="F8" s="16">
        <f>F6-F7</f>
        <v>23980</v>
      </c>
      <c r="H8" s="1" t="s">
        <v>43</v>
      </c>
      <c r="K8" s="5">
        <f>K5-K6-K7</f>
        <v>257320</v>
      </c>
    </row>
    <row r="9" spans="1:11" x14ac:dyDescent="0.35">
      <c r="A9" s="1" t="s">
        <v>5</v>
      </c>
      <c r="F9" s="16">
        <v>72000</v>
      </c>
      <c r="H9" t="s">
        <v>83</v>
      </c>
      <c r="I9" s="22" t="s">
        <v>17</v>
      </c>
      <c r="K9" s="39">
        <f>7200+6800</f>
        <v>14000</v>
      </c>
    </row>
    <row r="10" spans="1:11" x14ac:dyDescent="0.35">
      <c r="A10" s="1" t="s">
        <v>77</v>
      </c>
      <c r="E10" s="3" t="s">
        <v>39</v>
      </c>
      <c r="F10" s="16">
        <f>72000/4</f>
        <v>18000</v>
      </c>
      <c r="H10" s="1" t="s">
        <v>44</v>
      </c>
      <c r="K10" s="5">
        <f>K8-K9</f>
        <v>243320</v>
      </c>
    </row>
    <row r="11" spans="1:11" x14ac:dyDescent="0.35">
      <c r="A11" s="31" t="s">
        <v>80</v>
      </c>
      <c r="H11" t="s">
        <v>22</v>
      </c>
      <c r="I11" s="22" t="s">
        <v>40</v>
      </c>
      <c r="K11" s="12">
        <v>7200</v>
      </c>
    </row>
    <row r="12" spans="1:11" ht="15" thickBot="1" x14ac:dyDescent="0.4">
      <c r="H12" s="1" t="s">
        <v>45</v>
      </c>
      <c r="K12" s="13">
        <f>K10-K11</f>
        <v>236120</v>
      </c>
    </row>
    <row r="13" spans="1:11" ht="15" thickTop="1" x14ac:dyDescent="0.35">
      <c r="A13" s="9" t="s">
        <v>10</v>
      </c>
      <c r="B13" s="10"/>
      <c r="C13" s="10"/>
      <c r="D13" s="10"/>
      <c r="E13" s="10"/>
      <c r="F13" s="10"/>
    </row>
    <row r="14" spans="1:11" x14ac:dyDescent="0.35">
      <c r="A14" s="1" t="s">
        <v>50</v>
      </c>
      <c r="F14" s="4">
        <v>324000</v>
      </c>
    </row>
    <row r="15" spans="1:11" x14ac:dyDescent="0.35">
      <c r="A15" t="s">
        <v>51</v>
      </c>
      <c r="F15" s="4">
        <f>(140000-48600)*0.2</f>
        <v>18280</v>
      </c>
      <c r="H15" s="6" t="s">
        <v>79</v>
      </c>
      <c r="I15" s="20"/>
      <c r="J15" s="7"/>
      <c r="K15" s="8"/>
    </row>
    <row r="16" spans="1:11" x14ac:dyDescent="0.35">
      <c r="A16" t="s">
        <v>86</v>
      </c>
      <c r="F16" s="4">
        <f>(240000-60000)/30</f>
        <v>6000</v>
      </c>
      <c r="H16" s="1" t="s">
        <v>36</v>
      </c>
    </row>
    <row r="17" spans="1:11" x14ac:dyDescent="0.35">
      <c r="A17" t="s">
        <v>76</v>
      </c>
      <c r="F17" s="18">
        <v>-29000</v>
      </c>
      <c r="H17" t="s">
        <v>23</v>
      </c>
      <c r="I17" s="40" t="s">
        <v>88</v>
      </c>
      <c r="K17" s="4">
        <f>240000-40000-6000</f>
        <v>194000</v>
      </c>
    </row>
    <row r="18" spans="1:11" x14ac:dyDescent="0.35">
      <c r="A18" t="s">
        <v>11</v>
      </c>
      <c r="F18" s="4">
        <v>18000</v>
      </c>
      <c r="H18" t="s">
        <v>47</v>
      </c>
      <c r="I18" s="40" t="s">
        <v>89</v>
      </c>
      <c r="K18" s="4">
        <f>140000-48600-18280</f>
        <v>73120</v>
      </c>
    </row>
    <row r="19" spans="1:11" ht="15" thickBot="1" x14ac:dyDescent="0.4">
      <c r="A19" s="1" t="s">
        <v>78</v>
      </c>
      <c r="F19" s="14">
        <f>SUM(F14:F18)</f>
        <v>337280</v>
      </c>
      <c r="H19" t="s">
        <v>46</v>
      </c>
      <c r="I19" s="40" t="s">
        <v>90</v>
      </c>
      <c r="K19" s="12">
        <f>72000-18000</f>
        <v>54000</v>
      </c>
    </row>
    <row r="20" spans="1:11" ht="15" thickTop="1" x14ac:dyDescent="0.35">
      <c r="K20" s="5">
        <f>SUM(K17:K19)</f>
        <v>321120</v>
      </c>
    </row>
    <row r="21" spans="1:11" x14ac:dyDescent="0.35">
      <c r="A21" s="9" t="s">
        <v>40</v>
      </c>
      <c r="B21" s="10"/>
      <c r="C21" s="10"/>
      <c r="D21" s="10"/>
      <c r="E21" s="10"/>
      <c r="F21" s="10"/>
    </row>
    <row r="22" spans="1:11" x14ac:dyDescent="0.35">
      <c r="A22" t="s">
        <v>12</v>
      </c>
      <c r="B22" t="s">
        <v>15</v>
      </c>
      <c r="E22" s="4">
        <v>7200</v>
      </c>
      <c r="F22" s="4"/>
      <c r="H22" s="1" t="s">
        <v>35</v>
      </c>
    </row>
    <row r="23" spans="1:11" x14ac:dyDescent="0.35">
      <c r="A23" t="s">
        <v>13</v>
      </c>
      <c r="B23" t="s">
        <v>14</v>
      </c>
      <c r="E23" s="4"/>
      <c r="F23" s="4">
        <v>7200</v>
      </c>
      <c r="H23" t="s">
        <v>26</v>
      </c>
      <c r="K23" s="4">
        <v>19600</v>
      </c>
    </row>
    <row r="24" spans="1:11" x14ac:dyDescent="0.35">
      <c r="H24" t="s">
        <v>24</v>
      </c>
      <c r="K24" s="4">
        <v>51200</v>
      </c>
    </row>
    <row r="25" spans="1:11" x14ac:dyDescent="0.35">
      <c r="H25" t="s">
        <v>25</v>
      </c>
      <c r="K25" s="12">
        <v>4300</v>
      </c>
    </row>
    <row r="26" spans="1:11" x14ac:dyDescent="0.35">
      <c r="K26" s="5">
        <f>SUM(K23:K25)</f>
        <v>75100</v>
      </c>
    </row>
    <row r="28" spans="1:11" ht="15" thickBot="1" x14ac:dyDescent="0.4">
      <c r="H28" s="9" t="s">
        <v>38</v>
      </c>
      <c r="I28" s="19"/>
      <c r="J28" s="10"/>
      <c r="K28" s="14">
        <f>K20+K26</f>
        <v>396220</v>
      </c>
    </row>
    <row r="29" spans="1:11" ht="15" thickTop="1" x14ac:dyDescent="0.35"/>
    <row r="30" spans="1:11" x14ac:dyDescent="0.35">
      <c r="H30" s="1" t="s">
        <v>34</v>
      </c>
    </row>
    <row r="31" spans="1:11" x14ac:dyDescent="0.35">
      <c r="H31" t="s">
        <v>27</v>
      </c>
      <c r="K31" s="4">
        <v>25000</v>
      </c>
    </row>
    <row r="32" spans="1:11" x14ac:dyDescent="0.35">
      <c r="H32" t="s">
        <v>28</v>
      </c>
      <c r="K32" s="4">
        <v>7000</v>
      </c>
    </row>
    <row r="33" spans="8:13" x14ac:dyDescent="0.35">
      <c r="H33" t="s">
        <v>29</v>
      </c>
      <c r="I33" s="40" t="s">
        <v>91</v>
      </c>
      <c r="K33" s="12">
        <f>15500+K12</f>
        <v>251620</v>
      </c>
      <c r="M33" t="s">
        <v>92</v>
      </c>
    </row>
    <row r="34" spans="8:13" x14ac:dyDescent="0.35">
      <c r="K34" s="5">
        <f>SUM(K31:K33)</f>
        <v>283620</v>
      </c>
    </row>
    <row r="36" spans="8:13" x14ac:dyDescent="0.35">
      <c r="H36" s="1" t="s">
        <v>33</v>
      </c>
    </row>
    <row r="37" spans="8:13" x14ac:dyDescent="0.35">
      <c r="H37" t="s">
        <v>0</v>
      </c>
      <c r="K37" s="4">
        <v>20000</v>
      </c>
    </row>
    <row r="38" spans="8:13" x14ac:dyDescent="0.35">
      <c r="H38" t="s">
        <v>30</v>
      </c>
      <c r="I38" s="22" t="s">
        <v>17</v>
      </c>
      <c r="K38" s="12">
        <f>F7</f>
        <v>26220</v>
      </c>
    </row>
    <row r="39" spans="8:13" x14ac:dyDescent="0.35">
      <c r="K39" s="5">
        <f>SUM(K37:K38)</f>
        <v>46220</v>
      </c>
    </row>
    <row r="41" spans="8:13" x14ac:dyDescent="0.35">
      <c r="H41" s="1" t="s">
        <v>32</v>
      </c>
    </row>
    <row r="42" spans="8:13" x14ac:dyDescent="0.35">
      <c r="H42" t="s">
        <v>31</v>
      </c>
      <c r="K42" s="4">
        <v>35200</v>
      </c>
    </row>
    <row r="43" spans="8:13" x14ac:dyDescent="0.35">
      <c r="H43" t="s">
        <v>30</v>
      </c>
      <c r="I43" s="22" t="s">
        <v>17</v>
      </c>
      <c r="K43" s="4">
        <f>F8</f>
        <v>23980</v>
      </c>
    </row>
    <row r="44" spans="8:13" x14ac:dyDescent="0.35">
      <c r="H44" t="s">
        <v>14</v>
      </c>
      <c r="I44" s="22" t="s">
        <v>40</v>
      </c>
      <c r="K44" s="12">
        <f>F23</f>
        <v>7200</v>
      </c>
    </row>
    <row r="45" spans="8:13" x14ac:dyDescent="0.35">
      <c r="K45" s="5">
        <f>SUM(K42:K44)</f>
        <v>66380</v>
      </c>
    </row>
    <row r="48" spans="8:13" ht="15" thickBot="1" x14ac:dyDescent="0.4">
      <c r="H48" s="9" t="s">
        <v>37</v>
      </c>
      <c r="I48" s="19"/>
      <c r="J48" s="10"/>
      <c r="K48" s="14">
        <f>K34+K39+K45</f>
        <v>396220</v>
      </c>
    </row>
    <row r="49" ht="15" thickTop="1" x14ac:dyDescent="0.3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Question</vt:lpstr>
      <vt:lpstr>Fryatt - Workings &amp; FS Template</vt:lpstr>
      <vt:lpstr>'Fryatt - Workings &amp; FS Template'!Print_Area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Tapiwa Gande</dc:creator>
  <cp:lastModifiedBy>Tapiwa Gande</cp:lastModifiedBy>
  <cp:lastPrinted>2026-03-11T12:59:09Z</cp:lastPrinted>
  <dcterms:created xsi:type="dcterms:W3CDTF">2025-02-28T08:50:56Z</dcterms:created>
  <dcterms:modified xsi:type="dcterms:W3CDTF">2026-03-20T12:54:42Z</dcterms:modified>
</cp:coreProperties>
</file>