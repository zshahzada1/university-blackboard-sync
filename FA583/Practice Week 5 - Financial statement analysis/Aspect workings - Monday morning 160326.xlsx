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629\Downloads\"/>
    </mc:Choice>
  </mc:AlternateContent>
  <xr:revisionPtr revIDLastSave="0" documentId="13_ncr:1_{740EC75E-4713-4D1E-9683-80F2EB6AB507}" xr6:coauthVersionLast="47" xr6:coauthVersionMax="47" xr10:uidLastSave="{00000000-0000-0000-0000-000000000000}"/>
  <bookViews>
    <workbookView xWindow="-120" yWindow="-120" windowWidth="29040" windowHeight="15720" xr2:uid="{B813F95B-776E-4D38-9B1B-3769675C7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I34" i="1"/>
  <c r="F39" i="1"/>
  <c r="E38" i="1"/>
  <c r="E37" i="1"/>
  <c r="F36" i="1"/>
  <c r="F35" i="1"/>
  <c r="F34" i="1"/>
  <c r="F25" i="1"/>
  <c r="F24" i="1"/>
  <c r="F8" i="1"/>
  <c r="F9" i="1" s="1"/>
  <c r="F21" i="1"/>
  <c r="F19" i="1"/>
  <c r="F18" i="1"/>
  <c r="F17" i="1"/>
  <c r="F16" i="1"/>
  <c r="F15" i="1"/>
  <c r="F7" i="1"/>
  <c r="F6" i="1"/>
  <c r="F5" i="1"/>
</calcChain>
</file>

<file path=xl/sharedStrings.xml><?xml version="1.0" encoding="utf-8"?>
<sst xmlns="http://schemas.openxmlformats.org/spreadsheetml/2006/main" count="53" uniqueCount="49">
  <si>
    <t>Restated financial information</t>
  </si>
  <si>
    <t>Statement of profit or loss</t>
  </si>
  <si>
    <t>20X4</t>
  </si>
  <si>
    <t>$000</t>
  </si>
  <si>
    <t>Revenue</t>
  </si>
  <si>
    <t xml:space="preserve">(54,200 - 2,100) </t>
  </si>
  <si>
    <t>Note (i)</t>
  </si>
  <si>
    <t>Cost of sales</t>
  </si>
  <si>
    <t>(21,500 - 1,200)</t>
  </si>
  <si>
    <t>Gross Profit</t>
  </si>
  <si>
    <t>Operating expenses</t>
  </si>
  <si>
    <t>W1</t>
  </si>
  <si>
    <t>Profit before tax</t>
  </si>
  <si>
    <t>W1 - Restating the operating expenses</t>
  </si>
  <si>
    <t>As per the question</t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</si>
  <si>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>: Expenses relating to the non-core division</t>
    </r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</si>
  <si>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>: Loss on the disposal of the non-core division</t>
    </r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</si>
  <si>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>: Gamilton management charge ($54,200 x 1%)</t>
    </r>
  </si>
  <si>
    <r>
      <rPr>
        <sz val="11"/>
        <color rgb="FF0070C0"/>
        <rFont val="Aptos Narrow"/>
        <family val="2"/>
        <scheme val="minor"/>
      </rPr>
      <t>Add</t>
    </r>
    <r>
      <rPr>
        <sz val="11"/>
        <color theme="1"/>
        <rFont val="Aptos Narrow"/>
        <family val="2"/>
        <scheme val="minor"/>
      </rPr>
      <t>: Funject management charge ($31,800 x 10%)</t>
    </r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</si>
  <si>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>: Rent charged by Gamilton</t>
    </r>
  </si>
  <si>
    <r>
      <rPr>
        <sz val="11"/>
        <color rgb="FF0070C0"/>
        <rFont val="Aptos Narrow"/>
        <family val="2"/>
        <scheme val="minor"/>
      </rPr>
      <t>Add</t>
    </r>
    <r>
      <rPr>
        <sz val="11"/>
        <color theme="1"/>
        <rFont val="Aptos Narrow"/>
        <family val="2"/>
        <scheme val="minor"/>
      </rPr>
      <t>: Commercial rent</t>
    </r>
  </si>
  <si>
    <t>Restated operating expenses</t>
  </si>
  <si>
    <t>Prior profit</t>
  </si>
  <si>
    <t>Restated profit as above</t>
  </si>
  <si>
    <t>Cr Cash</t>
  </si>
  <si>
    <t>Dr Retained Earnings</t>
  </si>
  <si>
    <r>
      <rPr>
        <b/>
        <sz val="11"/>
        <color theme="1"/>
        <rFont val="Aptos Narrow"/>
        <family val="2"/>
        <scheme val="minor"/>
      </rPr>
      <t>Treatment</t>
    </r>
    <r>
      <rPr>
        <sz val="11"/>
        <color theme="1"/>
        <rFont val="Aptos Narrow"/>
        <family val="2"/>
        <scheme val="minor"/>
      </rPr>
      <t>: Reduce cash</t>
    </r>
  </si>
  <si>
    <t>(21,000-19,588)</t>
  </si>
  <si>
    <t>Workings</t>
  </si>
  <si>
    <t>Industry KPI</t>
  </si>
  <si>
    <t>Gross Profit Margin</t>
  </si>
  <si>
    <t>Net Profit margin</t>
  </si>
  <si>
    <t>days</t>
  </si>
  <si>
    <t>Receivables collection period</t>
  </si>
  <si>
    <t>Current ratio</t>
  </si>
  <si>
    <t>1.6 : 1</t>
  </si>
  <si>
    <t>Acid test (quick) ratio</t>
  </si>
  <si>
    <t>1.4 : 1</t>
  </si>
  <si>
    <t>Gearing (debt/ equity)</t>
  </si>
  <si>
    <t>31,800/52,100</t>
  </si>
  <si>
    <t>19,588 / 52,100</t>
  </si>
  <si>
    <t>5,700/52,100 x 365 days</t>
  </si>
  <si>
    <t>Comparison to industry KPI's</t>
  </si>
  <si>
    <t>0.57 : 1</t>
  </si>
  <si>
    <t xml:space="preserve">     1 : 1</t>
  </si>
  <si>
    <r>
      <t>Difference (</t>
    </r>
    <r>
      <rPr>
        <b/>
        <sz val="11"/>
        <color rgb="FF0070C0"/>
        <rFont val="Aptos Narrow"/>
        <family val="2"/>
        <scheme val="minor"/>
      </rPr>
      <t>increase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rgb="FFFF0000"/>
        <rFont val="Aptos Narrow"/>
        <family val="2"/>
        <scheme val="minor"/>
      </rPr>
      <t>decrease</t>
    </r>
    <r>
      <rPr>
        <b/>
        <sz val="11"/>
        <color theme="1"/>
        <rFont val="Aptos Narrow"/>
        <family val="2"/>
        <scheme val="minor"/>
      </rPr>
      <t>)</t>
    </r>
  </si>
  <si>
    <r>
      <t xml:space="preserve">(12,900 - </t>
    </r>
    <r>
      <rPr>
        <sz val="11"/>
        <color rgb="FFFF0000"/>
        <rFont val="Aptos Narrow"/>
        <family val="2"/>
        <scheme val="minor"/>
      </rPr>
      <t>1,412</t>
    </r>
    <r>
      <rPr>
        <sz val="11"/>
        <color theme="1"/>
        <rFont val="Aptos Narrow"/>
        <family val="2"/>
        <scheme val="minor"/>
      </rPr>
      <t>)/11,600</t>
    </r>
  </si>
  <si>
    <r>
      <t xml:space="preserve">(12,900 - </t>
    </r>
    <r>
      <rPr>
        <sz val="11"/>
        <color rgb="FFFF0000"/>
        <rFont val="Aptos Narrow"/>
        <family val="2"/>
        <scheme val="minor"/>
      </rPr>
      <t>1,412</t>
    </r>
    <r>
      <rPr>
        <sz val="11"/>
        <color theme="1"/>
        <rFont val="Aptos Narrow"/>
        <family val="2"/>
        <scheme val="minor"/>
      </rPr>
      <t xml:space="preserve"> - 4,900)/11,600</t>
    </r>
  </si>
  <si>
    <r>
      <t xml:space="preserve">16,700/(9,000 - </t>
    </r>
    <r>
      <rPr>
        <sz val="11"/>
        <color rgb="FFFF0000"/>
        <rFont val="Aptos Narrow"/>
        <family val="2"/>
        <scheme val="minor"/>
      </rPr>
      <t>1,412</t>
    </r>
    <r>
      <rPr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</si>
</sst>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0" fillId="0" borderId="0" xfId="0" quotePrefix="1"/>
    <xf numFmtId="165" fontId="0" fillId="0" borderId="0" xfId="1" applyNumberFormat="1" applyFont="1"/>
    <xf numFmtId="165" fontId="0" fillId="0" borderId="1" xfId="1" applyNumberFormat="1" applyFont="1" applyBorder="1"/>
    <xf numFmtId="165" fontId="2" fillId="0" borderId="1" xfId="1" applyNumberFormat="1" applyFont="1" applyBorder="1"/>
    <xf numFmtId="165" fontId="3" fillId="0" borderId="0" xfId="1" applyNumberFormat="1" applyFont="1"/>
    <xf numFmtId="165" fontId="2" fillId="0" borderId="0" xfId="1" applyNumberFormat="1" applyFont="1"/>
    <xf numFmtId="9" fontId="0" fillId="0" borderId="0" xfId="0" applyNumberFormat="1"/>
    <xf numFmtId="0" fontId="0" fillId="0" borderId="0" xfId="0" applyAlignment="1">
      <alignment horizontal="center"/>
    </xf>
    <xf numFmtId="0" fontId="3" fillId="2" borderId="0" xfId="0" applyFont="1" applyFill="1"/>
    <xf numFmtId="0" fontId="0" fillId="2" borderId="0" xfId="0" applyFill="1"/>
    <xf numFmtId="0" fontId="0" fillId="0" borderId="0" xfId="0" applyBorder="1"/>
    <xf numFmtId="0" fontId="0" fillId="0" borderId="0" xfId="0" quotePrefix="1" applyBorder="1"/>
    <xf numFmtId="9" fontId="0" fillId="0" borderId="0" xfId="2" applyFont="1" applyBorder="1"/>
    <xf numFmtId="9" fontId="0" fillId="2" borderId="0" xfId="0" applyNumberFormat="1" applyFill="1" applyBorder="1" applyAlignment="1">
      <alignment horizontal="center"/>
    </xf>
    <xf numFmtId="1" fontId="0" fillId="0" borderId="0" xfId="0" applyNumberFormat="1" applyBorder="1"/>
    <xf numFmtId="0" fontId="0" fillId="2" borderId="0" xfId="0" applyFill="1" applyBorder="1" applyAlignment="1">
      <alignment horizontal="center"/>
    </xf>
    <xf numFmtId="2" fontId="0" fillId="0" borderId="0" xfId="0" applyNumberFormat="1" applyBorder="1"/>
    <xf numFmtId="165" fontId="6" fillId="0" borderId="0" xfId="1" applyNumberFormat="1" applyFont="1"/>
    <xf numFmtId="165" fontId="3" fillId="2" borderId="2" xfId="1" applyNumberFormat="1" applyFont="1" applyFill="1" applyBorder="1"/>
    <xf numFmtId="0" fontId="0" fillId="0" borderId="0" xfId="0" quotePrefix="1" applyAlignment="1">
      <alignment horizontal="center"/>
    </xf>
    <xf numFmtId="165" fontId="3" fillId="0" borderId="0" xfId="1" applyNumberFormat="1" applyFont="1" applyAlignment="1">
      <alignment horizontal="center"/>
    </xf>
    <xf numFmtId="165" fontId="3" fillId="0" borderId="0" xfId="1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vertical="center"/>
    </xf>
    <xf numFmtId="165" fontId="3" fillId="2" borderId="0" xfId="1" applyNumberFormat="1" applyFont="1" applyFill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F5D0-7AAF-4AFF-B2C0-2E844890D377}">
  <dimension ref="A1:I39"/>
  <sheetViews>
    <sheetView tabSelected="1" topLeftCell="A21" zoomScale="140" zoomScaleNormal="140" workbookViewId="0">
      <selection activeCell="F39" sqref="F39"/>
    </sheetView>
  </sheetViews>
  <sheetFormatPr defaultRowHeight="15" x14ac:dyDescent="0.25"/>
  <cols>
    <col min="1" max="1" width="14.28515625" customWidth="1"/>
    <col min="2" max="2" width="11.7109375" customWidth="1"/>
    <col min="3" max="3" width="16.42578125" customWidth="1"/>
    <col min="4" max="4" width="11.140625" customWidth="1"/>
    <col min="5" max="5" width="7.5703125" customWidth="1"/>
    <col min="6" max="6" width="11.140625" style="3" customWidth="1"/>
  </cols>
  <sheetData>
    <row r="1" spans="1:6" x14ac:dyDescent="0.25">
      <c r="A1" s="1" t="s">
        <v>0</v>
      </c>
    </row>
    <row r="3" spans="1:6" x14ac:dyDescent="0.25">
      <c r="A3" s="1" t="s">
        <v>1</v>
      </c>
      <c r="F3" s="22" t="s">
        <v>2</v>
      </c>
    </row>
    <row r="4" spans="1:6" x14ac:dyDescent="0.25">
      <c r="F4" s="23" t="s">
        <v>3</v>
      </c>
    </row>
    <row r="5" spans="1:6" x14ac:dyDescent="0.25">
      <c r="A5" t="s">
        <v>4</v>
      </c>
      <c r="B5" s="2" t="s">
        <v>5</v>
      </c>
      <c r="D5" s="24" t="s">
        <v>6</v>
      </c>
      <c r="F5" s="3">
        <f>54200-2100</f>
        <v>52100</v>
      </c>
    </row>
    <row r="6" spans="1:6" x14ac:dyDescent="0.25">
      <c r="A6" t="s">
        <v>7</v>
      </c>
      <c r="B6" s="2" t="s">
        <v>8</v>
      </c>
      <c r="D6" s="24" t="s">
        <v>6</v>
      </c>
      <c r="F6" s="5">
        <f>21500-1200</f>
        <v>20300</v>
      </c>
    </row>
    <row r="7" spans="1:6" x14ac:dyDescent="0.25">
      <c r="A7" s="1" t="s">
        <v>9</v>
      </c>
      <c r="D7" s="9"/>
      <c r="F7" s="6">
        <f>F5-F6</f>
        <v>31800</v>
      </c>
    </row>
    <row r="8" spans="1:6" x14ac:dyDescent="0.25">
      <c r="A8" t="s">
        <v>10</v>
      </c>
      <c r="D8" s="24" t="s">
        <v>11</v>
      </c>
      <c r="F8" s="5">
        <f>F21</f>
        <v>12212</v>
      </c>
    </row>
    <row r="9" spans="1:6" ht="15.75" thickBot="1" x14ac:dyDescent="0.3">
      <c r="A9" s="10" t="s">
        <v>12</v>
      </c>
      <c r="B9" s="11"/>
      <c r="C9" s="11"/>
      <c r="D9" s="11"/>
      <c r="E9" s="11"/>
      <c r="F9" s="20">
        <f>F7-F8</f>
        <v>19588</v>
      </c>
    </row>
    <row r="10" spans="1:6" ht="15.75" thickTop="1" x14ac:dyDescent="0.25"/>
    <row r="12" spans="1:6" x14ac:dyDescent="0.25">
      <c r="A12" s="1" t="s">
        <v>13</v>
      </c>
      <c r="F12" s="22" t="s">
        <v>2</v>
      </c>
    </row>
    <row r="13" spans="1:6" x14ac:dyDescent="0.25">
      <c r="F13" s="23" t="s">
        <v>3</v>
      </c>
    </row>
    <row r="14" spans="1:6" x14ac:dyDescent="0.25">
      <c r="A14" t="s">
        <v>14</v>
      </c>
      <c r="F14" s="3">
        <v>11700</v>
      </c>
    </row>
    <row r="15" spans="1:6" x14ac:dyDescent="0.25">
      <c r="A15" t="s">
        <v>15</v>
      </c>
      <c r="F15" s="7">
        <f>-700</f>
        <v>-700</v>
      </c>
    </row>
    <row r="16" spans="1:6" x14ac:dyDescent="0.25">
      <c r="A16" t="s">
        <v>16</v>
      </c>
      <c r="F16" s="7">
        <f>-1500</f>
        <v>-1500</v>
      </c>
    </row>
    <row r="17" spans="1:6" x14ac:dyDescent="0.25">
      <c r="A17" t="s">
        <v>17</v>
      </c>
      <c r="F17" s="7">
        <f>-54200*0.01</f>
        <v>-542</v>
      </c>
    </row>
    <row r="18" spans="1:6" x14ac:dyDescent="0.25">
      <c r="A18" t="s">
        <v>18</v>
      </c>
      <c r="F18" s="3">
        <f>31800*0.1</f>
        <v>3180</v>
      </c>
    </row>
    <row r="19" spans="1:6" x14ac:dyDescent="0.25">
      <c r="A19" t="s">
        <v>19</v>
      </c>
      <c r="F19" s="7">
        <f>-46</f>
        <v>-46</v>
      </c>
    </row>
    <row r="20" spans="1:6" x14ac:dyDescent="0.25">
      <c r="A20" t="s">
        <v>20</v>
      </c>
      <c r="F20" s="4">
        <v>120</v>
      </c>
    </row>
    <row r="21" spans="1:6" ht="15.75" thickBot="1" x14ac:dyDescent="0.3">
      <c r="A21" s="10" t="s">
        <v>21</v>
      </c>
      <c r="B21" s="11"/>
      <c r="C21" s="11"/>
      <c r="D21" s="11"/>
      <c r="E21" s="11"/>
      <c r="F21" s="20">
        <f>SUM(F14:F20)</f>
        <v>12212</v>
      </c>
    </row>
    <row r="22" spans="1:6" ht="15.75" thickTop="1" x14ac:dyDescent="0.25"/>
    <row r="23" spans="1:6" x14ac:dyDescent="0.25">
      <c r="A23" t="s">
        <v>22</v>
      </c>
      <c r="F23" s="3">
        <v>21000</v>
      </c>
    </row>
    <row r="24" spans="1:6" x14ac:dyDescent="0.25">
      <c r="A24" t="s">
        <v>23</v>
      </c>
      <c r="F24" s="4">
        <f>F9</f>
        <v>19588</v>
      </c>
    </row>
    <row r="25" spans="1:6" x14ac:dyDescent="0.25">
      <c r="A25" s="1" t="s">
        <v>45</v>
      </c>
      <c r="F25" s="19">
        <f>F23-F24</f>
        <v>1412</v>
      </c>
    </row>
    <row r="27" spans="1:6" x14ac:dyDescent="0.25">
      <c r="A27" t="s">
        <v>26</v>
      </c>
    </row>
    <row r="28" spans="1:6" x14ac:dyDescent="0.25">
      <c r="B28" t="s">
        <v>25</v>
      </c>
      <c r="D28" s="3">
        <v>1412</v>
      </c>
      <c r="E28" s="3"/>
    </row>
    <row r="29" spans="1:6" x14ac:dyDescent="0.25">
      <c r="B29" t="s">
        <v>24</v>
      </c>
      <c r="C29" s="2" t="s">
        <v>27</v>
      </c>
      <c r="D29" s="3"/>
      <c r="E29" s="3">
        <v>1412</v>
      </c>
    </row>
    <row r="32" spans="1:6" x14ac:dyDescent="0.25">
      <c r="A32" s="1" t="s">
        <v>42</v>
      </c>
    </row>
    <row r="33" spans="1:9" ht="30" x14ac:dyDescent="0.25">
      <c r="C33" s="26" t="s">
        <v>28</v>
      </c>
      <c r="D33" s="26"/>
      <c r="E33" s="26"/>
      <c r="F33" s="27" t="s">
        <v>2</v>
      </c>
      <c r="G33" s="25" t="s">
        <v>29</v>
      </c>
    </row>
    <row r="34" spans="1:9" x14ac:dyDescent="0.25">
      <c r="A34" s="12" t="s">
        <v>30</v>
      </c>
      <c r="B34" s="12"/>
      <c r="C34" s="13" t="s">
        <v>39</v>
      </c>
      <c r="D34" s="12"/>
      <c r="E34" s="12"/>
      <c r="F34" s="14">
        <f>31800/52100</f>
        <v>0.61036468330134352</v>
      </c>
      <c r="G34" s="15">
        <v>0.45</v>
      </c>
      <c r="I34" s="8">
        <f>F34-G34</f>
        <v>0.16036468330134351</v>
      </c>
    </row>
    <row r="35" spans="1:9" x14ac:dyDescent="0.25">
      <c r="A35" s="12" t="s">
        <v>31</v>
      </c>
      <c r="B35" s="12"/>
      <c r="C35" s="13" t="s">
        <v>40</v>
      </c>
      <c r="D35" s="12"/>
      <c r="E35" s="12"/>
      <c r="F35" s="14">
        <f>19588/52100</f>
        <v>0.3759692898272553</v>
      </c>
      <c r="G35" s="15">
        <v>0.28000000000000003</v>
      </c>
      <c r="I35" s="8">
        <f>F35-G35</f>
        <v>9.5969289827255277E-2</v>
      </c>
    </row>
    <row r="36" spans="1:9" x14ac:dyDescent="0.25">
      <c r="A36" s="12" t="s">
        <v>33</v>
      </c>
      <c r="B36" s="12"/>
      <c r="C36" s="13" t="s">
        <v>41</v>
      </c>
      <c r="D36" s="12"/>
      <c r="E36" s="12"/>
      <c r="F36" s="16">
        <f>5700/52100*365</f>
        <v>39.932821497120919</v>
      </c>
      <c r="G36" s="17">
        <v>41</v>
      </c>
      <c r="H36" t="s">
        <v>32</v>
      </c>
    </row>
    <row r="37" spans="1:9" x14ac:dyDescent="0.25">
      <c r="A37" s="12" t="s">
        <v>34</v>
      </c>
      <c r="B37" s="12"/>
      <c r="C37" s="13" t="s">
        <v>46</v>
      </c>
      <c r="D37" s="12"/>
      <c r="E37" s="18">
        <f>(12900-1412)/11600</f>
        <v>0.9903448275862069</v>
      </c>
      <c r="F37" s="21" t="s">
        <v>44</v>
      </c>
      <c r="G37" s="17" t="s">
        <v>35</v>
      </c>
    </row>
    <row r="38" spans="1:9" x14ac:dyDescent="0.25">
      <c r="A38" s="12" t="s">
        <v>36</v>
      </c>
      <c r="B38" s="12"/>
      <c r="C38" s="13" t="s">
        <v>47</v>
      </c>
      <c r="D38" s="12"/>
      <c r="E38" s="18">
        <f>(12900-1412-4900)/11600</f>
        <v>0.56793103448275861</v>
      </c>
      <c r="F38" s="9" t="s">
        <v>43</v>
      </c>
      <c r="G38" s="17" t="s">
        <v>37</v>
      </c>
    </row>
    <row r="39" spans="1:9" x14ac:dyDescent="0.25">
      <c r="A39" s="12" t="s">
        <v>38</v>
      </c>
      <c r="B39" s="12"/>
      <c r="C39" s="13" t="s">
        <v>48</v>
      </c>
      <c r="D39" s="12"/>
      <c r="E39" s="12"/>
      <c r="F39" s="14">
        <f>16700/(9000-1412)</f>
        <v>2.2008434370057985</v>
      </c>
      <c r="G39" s="15">
        <v>2.4</v>
      </c>
    </row>
  </sheetData>
  <pageMargins left="0.7" right="0.7" top="0.75" bottom="0.75" header="0.3" footer="0.3"/>
  <ignoredErrors>
    <ignoredError sqref="F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Gande</dc:creator>
  <cp:lastModifiedBy>Tapiwa Gande</cp:lastModifiedBy>
  <dcterms:created xsi:type="dcterms:W3CDTF">2026-03-16T11:01:02Z</dcterms:created>
  <dcterms:modified xsi:type="dcterms:W3CDTF">2026-03-16T12:11:53Z</dcterms:modified>
</cp:coreProperties>
</file>